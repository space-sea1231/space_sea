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2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6c50b625b940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全部选手" sheetId="1" r:id="R17afa8c92e4a4f54"/>
    <x:sheet xmlns:r="http://schemas.openxmlformats.org/officeDocument/2006/relationships" name="正式选手" sheetId="2" r:id="R518c21919cd743f2"/>
  </x:sheets>
</x:workbook>
</file>

<file path=xl/comments1.xml><?xml version="1.0" encoding="utf-8"?>
<x:comments xmlns:x="http://schemas.openxmlformats.org/spreadsheetml/2006/main">
  <x:authors>
    <x:author>tc={563DFD72-E0F8-D5EE-3C11-F32CF04DC9BB}</x:author>
  </x:authors>
  <x:commentList>
    <x:comment ref="D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本工作表包含 A、B、C、D、E、IOI 类；A 类加 5 分。</x:t>
        </x:r>
      </x:text>
    </x:comment>
  </x:commentList>
</x:comments>
</file>

<file path=xl/comments2.xml><?xml version="1.0" encoding="utf-8"?>
<x:comments xmlns:x="http://schemas.openxmlformats.org/spreadsheetml/2006/main">
  <x:authors>
    <x:author>tc={D04F3BAC-A240-AB5B-E1AD-9513FF03462A}</x:author>
  </x:authors>
  <x:commentList>
    <x:comment ref="D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本工作表按 A、B、C 类筛选；A 类加 5 分。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left" vertical="center" wrapText="1"/>
    </x:xf>
    <x:xf numFmtId="200" fontId="1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2"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d86de8947c4fe4" /><Relationship Type="http://schemas.openxmlformats.org/officeDocument/2006/relationships/theme" Target="/xl/theme/theme1.xml" Id="Rc4c9b0889a6b49dd" /><Relationship Type="http://schemas.openxmlformats.org/officeDocument/2006/relationships/sharedStrings" Target="/xl/sharedStrings.xml" Id="Ra6d98f96b72245fa" /><Relationship Type="http://schemas.openxmlformats.org/officeDocument/2006/relationships/worksheet" Target="/xl/worksheets/sheet1.xml" Id="R17afa8c92e4a4f54" /><Relationship Type="http://schemas.openxmlformats.org/officeDocument/2006/relationships/worksheet" Target="/xl/worksheets/sheet2.xml" Id="R518c21919cd743f2" /><Relationship Type="http://schemas.microsoft.com/office/2017/10/relationships/person" Target="/xl/persons/person.xml" Id="R8f09ab6376d04860" /></Relationships>
</file>

<file path=xl/persons/person.xml><?xml version="1.0" encoding="utf-8"?>
<xltc:personList xmlns:xltc="http://schemas.microsoft.com/office/spreadsheetml/2018/threadedcomments">
  <xltc:person displayName="User" id="{6797B32B-7A57-4BDF-B75C-B0C117A8579F}"/>
</xltc:personList>
</file>

<file path=xl/tables/table1.xml><?xml version="1.0" encoding="utf-8"?>
<x:table xmlns:x="http://schemas.openxmlformats.org/spreadsheetml/2006/main" id="1" name="AllContestantsTable" displayName="AllContestantsTable" ref="A1:K523" headerRowCount="1" totalsRowCount="0" totalsRowShown="0">
  <x:tableColumns count="11">
    <x:tableColumn id="1" name="排名"/>
    <x:tableColumn id="2" name="编号"/>
    <x:tableColumn id="3" name="省份"/>
    <x:tableColumn id="4" name="类型"/>
    <x:tableColumn id="5" name="姓名"/>
    <x:tableColumn id="6" name="学校"/>
    <x:tableColumn id="7" name="总分"/>
    <x:tableColumn id="8" name="笔试"/>
    <x:tableColumn id="9" name="一试"/>
    <x:tableColumn id="10" name="二试"/>
    <x:tableColumn id="11" name="加分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ormalContestantsTable" displayName="FormalContestantsTable" ref="A1:K334" headerRowCount="1" totalsRowCount="0" totalsRowShown="0">
  <x:tableColumns count="11">
    <x:tableColumn id="1" name="排名"/>
    <x:tableColumn id="2" name="编号"/>
    <x:tableColumn id="3" name="省份"/>
    <x:tableColumn id="4" name="类型"/>
    <x:tableColumn id="5" name="姓名"/>
    <x:tableColumn id="6" name="学校"/>
    <x:tableColumn id="7" name="总分"/>
    <x:tableColumn id="8" name="笔试"/>
    <x:tableColumn id="9" name="一试"/>
    <x:tableColumn id="10" name="二试"/>
    <x:tableColumn id="11" name="加分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D1" dT="2026-07-22T11:15:24.777" personId="{6797B32B-7A57-4BDF-B75C-B0C117A8579F}" id="{563DFD72-E0F8-D5EE-3C11-F32CF04DC9BB}">
    <xltc:text>本工作表包含 A、B、C、D、E、IOI 类；A 类加 5 分。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D1" dT="2026-07-22T11:15:25.758" personId="{6797B32B-7A57-4BDF-B75C-B0C117A8579F}" id="{D04F3BAC-A240-AB5B-E1AD-9513FF03462A}">
    <xltc:text>本工作表按 A、B、C 类筛选；A 类加 5 分。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6f3d8cd902aa46ad" /><Relationship Type="http://schemas.openxmlformats.org/officeDocument/2006/relationships/vmlDrawing" Target="/xl/drawings/vmldrawing.vml" Id="R295b037936e94938" /><Relationship Type="http://schemas.microsoft.com/office/2017/10/relationships/threadedComment" Target="/xl/threadedcomments/threadedcomment.xml" Id="R33de0c6761284170" /><Relationship Type="http://schemas.openxmlformats.org/officeDocument/2006/relationships/table" Target="/xl/tables/table1.xml" Id="Re426baf3efc5461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4aa3861bb1894db8" /><Relationship Type="http://schemas.openxmlformats.org/officeDocument/2006/relationships/vmlDrawing" Target="/xl/drawings/vmldrawing2.vml" Id="Rf8ee4ee5d34f4dd6" /><Relationship Type="http://schemas.microsoft.com/office/2017/10/relationships/threadedComment" Target="/xl/threadedcomments/threadedcomment2.xml" Id="Rb91b2b26c3044e3c" /><Relationship Type="http://schemas.openxmlformats.org/officeDocument/2006/relationships/table" Target="/xl/tables/table2.xml" Id="Rb8f75e50b48a4ba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2" hidden="0" customWidth="1"/>
    <x:col min="3" max="3" width="8" hidden="0" customWidth="1"/>
    <x:col min="4" max="4" width="8" hidden="0" customWidth="1"/>
    <x:col min="5" max="5" width="13" hidden="0" customWidth="1"/>
    <x:col min="6" max="6" width="44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9" hidden="0" customWidth="1"/>
  </x:cols>
  <x:sheetData>
    <x:row r="1" ht="28" customHeight="1">
      <x:c r="A1" s="5" t="str">
        <x:v>排名</x:v>
      </x:c>
      <x:c r="B1" s="5" t="str">
        <x:v>编号</x:v>
      </x:c>
      <x:c r="C1" s="5" t="str">
        <x:v>省份</x:v>
      </x:c>
      <x:c r="D1" s="5" t="str">
        <x:v>类型</x:v>
      </x:c>
      <x:c r="E1" s="5" t="str">
        <x:v>姓名</x:v>
      </x:c>
      <x:c r="F1" s="5" t="str">
        <x:v>学校</x:v>
      </x:c>
      <x:c r="G1" s="5" t="str">
        <x:v>总分</x:v>
      </x:c>
      <x:c r="H1" s="5" t="str">
        <x:v>笔试</x:v>
      </x:c>
      <x:c r="I1" s="5" t="str">
        <x:v>一试</x:v>
      </x:c>
      <x:c r="J1" s="5" t="str">
        <x:v>二试</x:v>
      </x:c>
      <x:c r="K1" s="5" t="str">
        <x:v>加分</x:v>
      </x:c>
    </x:row>
    <x:row r="2" ht="30" customHeight="1">
      <x:c r="A2" s="11" t="n">
        <x:f>RANK.EQ(G2,$G$2:$G$523,0)</x:f>
        <x:v>1</x:v>
      </x:c>
      <x:c r="B2" s="7" t="str">
        <x:v>JS-003</x:v>
      </x:c>
      <x:c r="C2" s="7" t="str">
        <x:v>JS</x:v>
      </x:c>
      <x:c r="D2" s="7" t="str">
        <x:v>A</x:v>
      </x:c>
      <x:c r="E2" s="8" t="str">
        <x:v>郑煦翔</x:v>
      </x:c>
      <x:c r="F2" s="10" t="str">
        <x:v>南京外国语学校</x:v>
      </x:c>
      <x:c r="G2" s="12" t="n">
        <x:f>SUM(H2:J2)+K2</x:f>
        <x:v>705</x:v>
      </x:c>
      <x:c r="H2" s="12" t="n">
        <x:v>100</x:v>
      </x:c>
      <x:c r="I2" s="12" t="n">
        <x:v>300</x:v>
      </x:c>
      <x:c r="J2" s="12" t="n">
        <x:v>300</x:v>
      </x:c>
      <x:c r="K2" s="12" t="n">
        <x:f>IF(D2="A",5,0)</x:f>
        <x:v>5</x:v>
      </x:c>
    </x:row>
    <x:row r="3" ht="30" customHeight="1">
      <x:c r="A3" s="11" t="n">
        <x:f>RANK.EQ(G3,$G$2:$G$523,0)</x:f>
        <x:v>2</x:v>
      </x:c>
      <x:c r="B3" s="7" t="str">
        <x:v>SH-001</x:v>
      </x:c>
      <x:c r="C3" s="7" t="str">
        <x:v>SH</x:v>
      </x:c>
      <x:c r="D3" s="7" t="str">
        <x:v>A</x:v>
      </x:c>
      <x:c r="E3" s="8" t="str">
        <x:v>姜博闻</x:v>
      </x:c>
      <x:c r="F3" s="10" t="str">
        <x:v>华东师范大学第二附属中学</x:v>
      </x:c>
      <x:c r="G3" s="12" t="n">
        <x:f>SUM(H3:J3)+K3</x:f>
        <x:v>704</x:v>
      </x:c>
      <x:c r="H3" s="12" t="n">
        <x:v>100</x:v>
      </x:c>
      <x:c r="I3" s="12" t="n">
        <x:v>299</x:v>
      </x:c>
      <x:c r="J3" s="12" t="n">
        <x:v>300</x:v>
      </x:c>
      <x:c r="K3" s="12" t="n">
        <x:f>IF(D3="A",5,0)</x:f>
        <x:v>5</x:v>
      </x:c>
    </x:row>
    <x:row r="4" ht="30" customHeight="1">
      <x:c r="A4" s="11" t="n">
        <x:f>RANK.EQ(G4,$G$2:$G$523,0)</x:f>
        <x:v>3</x:v>
      </x:c>
      <x:c r="B4" s="7" t="str">
        <x:v>ZJ-018</x:v>
      </x:c>
      <x:c r="C4" s="7" t="str">
        <x:v>ZJ</x:v>
      </x:c>
      <x:c r="D4" s="7" t="str">
        <x:v>B</x:v>
      </x:c>
      <x:c r="E4" s="8" t="str">
        <x:v>周以山</x:v>
      </x:c>
      <x:c r="F4" s="10" t="str">
        <x:v>杭州第二中学</x:v>
      </x:c>
      <x:c r="G4" s="12" t="n">
        <x:f>SUM(H4:J4)+K4</x:f>
        <x:v>697</x:v>
      </x:c>
      <x:c r="H4" s="12" t="n">
        <x:v>100</x:v>
      </x:c>
      <x:c r="I4" s="12" t="n">
        <x:v>297</x:v>
      </x:c>
      <x:c r="J4" s="12" t="n">
        <x:v>300</x:v>
      </x:c>
      <x:c r="K4" s="12" t="n">
        <x:f>IF(D4="A",5,0)</x:f>
        <x:v>0</x:v>
      </x:c>
    </x:row>
    <x:row r="5" ht="30" customHeight="1">
      <x:c r="A5" s="11" t="n">
        <x:f>RANK.EQ(G5,$G$2:$G$523,0)</x:f>
        <x:v>4</x:v>
      </x:c>
      <x:c r="B5" s="7" t="str">
        <x:v>JS-004</x:v>
      </x:c>
      <x:c r="C5" s="7" t="str">
        <x:v>JS</x:v>
      </x:c>
      <x:c r="D5" s="7" t="str">
        <x:v>A</x:v>
      </x:c>
      <x:c r="E5" s="8" t="str">
        <x:v>许淇文</x:v>
      </x:c>
      <x:c r="F5" s="10" t="str">
        <x:v>南京外国语学校</x:v>
      </x:c>
      <x:c r="G5" s="12" t="n">
        <x:f>SUM(H5:J5)+K5</x:f>
        <x:v>693</x:v>
      </x:c>
      <x:c r="H5" s="12" t="n">
        <x:v>100</x:v>
      </x:c>
      <x:c r="I5" s="12" t="n">
        <x:v>288</x:v>
      </x:c>
      <x:c r="J5" s="12" t="n">
        <x:v>300</x:v>
      </x:c>
      <x:c r="K5" s="12" t="n">
        <x:f>IF(D5="A",5,0)</x:f>
        <x:v>5</x:v>
      </x:c>
    </x:row>
    <x:row r="6" ht="30" customHeight="1">
      <x:c r="A6" s="11" t="n">
        <x:f>RANK.EQ(G6,$G$2:$G$523,0)</x:f>
        <x:v>5</x:v>
      </x:c>
      <x:c r="B6" s="7" t="str">
        <x:v>SH-014</x:v>
      </x:c>
      <x:c r="C6" s="7" t="str">
        <x:v>SH</x:v>
      </x:c>
      <x:c r="D6" s="7" t="str">
        <x:v>B</x:v>
      </x:c>
      <x:c r="E6" s="8" t="str">
        <x:v>韩书简</x:v>
      </x:c>
      <x:c r="F6" s="10" t="str">
        <x:v>华东师范大学第二附属中学</x:v>
      </x:c>
      <x:c r="G6" s="12" t="n">
        <x:f>SUM(H6:J6)+K6</x:f>
        <x:v>691</x:v>
      </x:c>
      <x:c r="H6" s="12" t="n">
        <x:v>100</x:v>
      </x:c>
      <x:c r="I6" s="12" t="n">
        <x:v>299</x:v>
      </x:c>
      <x:c r="J6" s="12" t="n">
        <x:v>292</x:v>
      </x:c>
      <x:c r="K6" s="12" t="n">
        <x:f>IF(D6="A",5,0)</x:f>
        <x:v>0</x:v>
      </x:c>
    </x:row>
    <x:row r="7" ht="30" customHeight="1">
      <x:c r="A7" s="11" t="n">
        <x:f>RANK.EQ(G7,$G$2:$G$523,0)</x:f>
        <x:v>6</x:v>
      </x:c>
      <x:c r="B7" s="7" t="str">
        <x:v>SD-004</x:v>
      </x:c>
      <x:c r="C7" s="7" t="str">
        <x:v>SD</x:v>
      </x:c>
      <x:c r="D7" s="7" t="str">
        <x:v>A</x:v>
      </x:c>
      <x:c r="E7" s="8" t="str">
        <x:v>杨永昌</x:v>
      </x:c>
      <x:c r="F7" s="10" t="str">
        <x:v>青岛市城阳第一高级中学</x:v>
      </x:c>
      <x:c r="G7" s="12" t="n">
        <x:f>SUM(H7:J7)+K7</x:f>
        <x:v>676</x:v>
      </x:c>
      <x:c r="H7" s="12" t="n">
        <x:v>100</x:v>
      </x:c>
      <x:c r="I7" s="12" t="n">
        <x:v>295</x:v>
      </x:c>
      <x:c r="J7" s="12" t="n">
        <x:v>276</x:v>
      </x:c>
      <x:c r="K7" s="12" t="n">
        <x:f>IF(D7="A",5,0)</x:f>
        <x:v>5</x:v>
      </x:c>
    </x:row>
    <x:row r="8" ht="30" customHeight="1">
      <x:c r="A8" s="11" t="n">
        <x:f>RANK.EQ(G8,$G$2:$G$523,0)</x:f>
        <x:v>7</x:v>
      </x:c>
      <x:c r="B8" s="7" t="str">
        <x:v>GD-002</x:v>
      </x:c>
      <x:c r="C8" s="7" t="str">
        <x:v>GD</x:v>
      </x:c>
      <x:c r="D8" s="7" t="str">
        <x:v>A</x:v>
      </x:c>
      <x:c r="E8" s="8" t="str">
        <x:v>戴睿宸</x:v>
      </x:c>
      <x:c r="F8" s="10" t="str">
        <x:v>华南师范大学附属中学</x:v>
      </x:c>
      <x:c r="G8" s="12" t="n">
        <x:f>SUM(H8:J8)+K8</x:f>
        <x:v>675</x:v>
      </x:c>
      <x:c r="H8" s="12" t="n">
        <x:v>100</x:v>
      </x:c>
      <x:c r="I8" s="12" t="n">
        <x:v>298</x:v>
      </x:c>
      <x:c r="J8" s="12" t="n">
        <x:v>272</x:v>
      </x:c>
      <x:c r="K8" s="12" t="n">
        <x:f>IF(D8="A",5,0)</x:f>
        <x:v>5</x:v>
      </x:c>
    </x:row>
    <x:row r="9" ht="30" customHeight="1">
      <x:c r="A9" s="11" t="n">
        <x:f>RANK.EQ(G9,$G$2:$G$523,0)</x:f>
        <x:v>8</x:v>
      </x:c>
      <x:c r="B9" s="7" t="str">
        <x:v>SC-028</x:v>
      </x:c>
      <x:c r="C9" s="7" t="str">
        <x:v>SC</x:v>
      </x:c>
      <x:c r="D9" s="7" t="str">
        <x:v>E</x:v>
      </x:c>
      <x:c r="E9" s="8" t="str">
        <x:v>蒋明睿</x:v>
      </x:c>
      <x:c r="F9" s="10" t="str">
        <x:v>成都外国语学校</x:v>
      </x:c>
      <x:c r="G9" s="12" t="n">
        <x:f>SUM(H9:J9)+K9</x:f>
        <x:v>672</x:v>
      </x:c>
      <x:c r="H9" s="12" t="n">
        <x:v>100</x:v>
      </x:c>
      <x:c r="I9" s="12" t="n">
        <x:v>300</x:v>
      </x:c>
      <x:c r="J9" s="12" t="n">
        <x:v>272</x:v>
      </x:c>
      <x:c r="K9" s="12" t="n">
        <x:f>IF(D9="A",5,0)</x:f>
        <x:v>0</x:v>
      </x:c>
    </x:row>
    <x:row r="10" ht="30" customHeight="1">
      <x:c r="A10" s="11" t="n">
        <x:f>RANK.EQ(G10,$G$2:$G$523,0)</x:f>
        <x:v>9</x:v>
      </x:c>
      <x:c r="B10" s="7" t="str">
        <x:v>JS-016</x:v>
      </x:c>
      <x:c r="C10" s="7" t="str">
        <x:v>JS</x:v>
      </x:c>
      <x:c r="D10" s="7" t="str">
        <x:v>B</x:v>
      </x:c>
      <x:c r="E10" s="8" t="str">
        <x:v>张一藩</x:v>
      </x:c>
      <x:c r="F10" s="10" t="str">
        <x:v>江苏省锡山高级中学</x:v>
      </x:c>
      <x:c r="G10" s="12" t="n">
        <x:f>SUM(H10:J10)+K10</x:f>
        <x:v>661</x:v>
      </x:c>
      <x:c r="H10" s="12" t="n">
        <x:v>100</x:v>
      </x:c>
      <x:c r="I10" s="12" t="n">
        <x:v>273</x:v>
      </x:c>
      <x:c r="J10" s="12" t="n">
        <x:v>288</x:v>
      </x:c>
      <x:c r="K10" s="12" t="n">
        <x:f>IF(D10="A",5,0)</x:f>
        <x:v>0</x:v>
      </x:c>
    </x:row>
    <x:row r="11" ht="30" customHeight="1">
      <x:c r="A11" s="11" t="n">
        <x:f>RANK.EQ(G11,$G$2:$G$523,0)</x:f>
        <x:v>10</x:v>
      </x:c>
      <x:c r="B11" s="7" t="str">
        <x:v>GD-004</x:v>
      </x:c>
      <x:c r="C11" s="7" t="str">
        <x:v>GD</x:v>
      </x:c>
      <x:c r="D11" s="7" t="str">
        <x:v>A</x:v>
      </x:c>
      <x:c r="E11" s="8" t="str">
        <x:v>张乐涛</x:v>
      </x:c>
      <x:c r="F11" s="10" t="str">
        <x:v>广州大学附属中学</x:v>
      </x:c>
      <x:c r="G11" s="12" t="n">
        <x:f>SUM(H11:J11)+K11</x:f>
        <x:v>648</x:v>
      </x:c>
      <x:c r="H11" s="12" t="n">
        <x:v>100</x:v>
      </x:c>
      <x:c r="I11" s="12" t="n">
        <x:v>283</x:v>
      </x:c>
      <x:c r="J11" s="12" t="n">
        <x:v>260</x:v>
      </x:c>
      <x:c r="K11" s="12" t="n">
        <x:f>IF(D11="A",5,0)</x:f>
        <x:v>5</x:v>
      </x:c>
    </x:row>
    <x:row r="12" ht="30" customHeight="1">
      <x:c r="A12" s="11" t="n">
        <x:f>RANK.EQ(G12,$G$2:$G$523,0)</x:f>
        <x:v>11</x:v>
      </x:c>
      <x:c r="B12" s="7" t="str">
        <x:v>ZJ-004</x:v>
      </x:c>
      <x:c r="C12" s="7" t="str">
        <x:v>ZJ</x:v>
      </x:c>
      <x:c r="D12" s="7" t="str">
        <x:v>A</x:v>
      </x:c>
      <x:c r="E12" s="8" t="str">
        <x:v>吴旻逸</x:v>
      </x:c>
      <x:c r="F12" s="10" t="str">
        <x:v>浙江省诸暨市海亮高级中学</x:v>
      </x:c>
      <x:c r="G12" s="12" t="n">
        <x:f>SUM(H12:J12)+K12</x:f>
        <x:v>647</x:v>
      </x:c>
      <x:c r="H12" s="12" t="n">
        <x:v>100</x:v>
      </x:c>
      <x:c r="I12" s="12" t="n">
        <x:v>290</x:v>
      </x:c>
      <x:c r="J12" s="12" t="n">
        <x:v>252</x:v>
      </x:c>
      <x:c r="K12" s="12" t="n">
        <x:f>IF(D12="A",5,0)</x:f>
        <x:v>5</x:v>
      </x:c>
    </x:row>
    <x:row r="13" ht="30" customHeight="1">
      <x:c r="A13" s="11" t="n">
        <x:f>RANK.EQ(G13,$G$2:$G$523,0)</x:f>
        <x:v>12</x:v>
      </x:c>
      <x:c r="B13" s="7" t="str">
        <x:v>JS-011</x:v>
      </x:c>
      <x:c r="C13" s="7" t="str">
        <x:v>JS</x:v>
      </x:c>
      <x:c r="D13" s="7" t="str">
        <x:v>B</x:v>
      </x:c>
      <x:c r="E13" s="8" t="str">
        <x:v>华高涵</x:v>
      </x:c>
      <x:c r="F13" s="10" t="str">
        <x:v>南京市金陵河西学校</x:v>
      </x:c>
      <x:c r="G13" s="12" t="n">
        <x:f>SUM(H13:J13)+K13</x:f>
        <x:v>643</x:v>
      </x:c>
      <x:c r="H13" s="12" t="n">
        <x:v>100</x:v>
      </x:c>
      <x:c r="I13" s="12" t="n">
        <x:v>275</x:v>
      </x:c>
      <x:c r="J13" s="12" t="n">
        <x:v>268</x:v>
      </x:c>
      <x:c r="K13" s="12" t="n">
        <x:f>IF(D13="A",5,0)</x:f>
        <x:v>0</x:v>
      </x:c>
    </x:row>
    <x:row r="14" ht="30" customHeight="1">
      <x:c r="A14" s="11" t="n">
        <x:f>RANK.EQ(G14,$G$2:$G$523,0)</x:f>
        <x:v>13</x:v>
      </x:c>
      <x:c r="B14" s="7" t="str">
        <x:v>SD-001</x:v>
      </x:c>
      <x:c r="C14" s="7" t="str">
        <x:v>SD</x:v>
      </x:c>
      <x:c r="D14" s="7" t="str">
        <x:v>A</x:v>
      </x:c>
      <x:c r="E14" s="8" t="str">
        <x:v>王茂骅</x:v>
      </x:c>
      <x:c r="F14" s="10" t="str">
        <x:v>烟台青华中学</x:v>
      </x:c>
      <x:c r="G14" s="12" t="n">
        <x:f>SUM(H14:J14)+K14</x:f>
        <x:v>641</x:v>
      </x:c>
      <x:c r="H14" s="12" t="n">
        <x:v>100</x:v>
      </x:c>
      <x:c r="I14" s="12" t="n">
        <x:v>296</x:v>
      </x:c>
      <x:c r="J14" s="12" t="n">
        <x:v>240</x:v>
      </x:c>
      <x:c r="K14" s="12" t="n">
        <x:f>IF(D14="A",5,0)</x:f>
        <x:v>5</x:v>
      </x:c>
    </x:row>
    <x:row r="15" ht="30" customHeight="1">
      <x:c r="A15" s="11" t="n">
        <x:f>RANK.EQ(G15,$G$2:$G$523,0)</x:f>
        <x:v>14</x:v>
      </x:c>
      <x:c r="B15" s="7" t="str">
        <x:v>JS-010</x:v>
      </x:c>
      <x:c r="C15" s="7" t="str">
        <x:v>JS</x:v>
      </x:c>
      <x:c r="D15" s="7" t="str">
        <x:v>B</x:v>
      </x:c>
      <x:c r="E15" s="8" t="str">
        <x:v>裴牧达</x:v>
      </x:c>
      <x:c r="F15" s="10" t="str">
        <x:v>南京市金陵河西学校</x:v>
      </x:c>
      <x:c r="G15" s="12" t="n">
        <x:f>SUM(H15:J15)+K15</x:f>
        <x:v>639</x:v>
      </x:c>
      <x:c r="H15" s="12" t="n">
        <x:v>100</x:v>
      </x:c>
      <x:c r="I15" s="12" t="n">
        <x:v>280</x:v>
      </x:c>
      <x:c r="J15" s="12" t="n">
        <x:v>259</x:v>
      </x:c>
      <x:c r="K15" s="12" t="n">
        <x:f>IF(D15="A",5,0)</x:f>
        <x:v>0</x:v>
      </x:c>
    </x:row>
    <x:row r="16" ht="30" customHeight="1">
      <x:c r="A16" s="11" t="n">
        <x:f>RANK.EQ(G16,$G$2:$G$523,0)</x:f>
        <x:v>15</x:v>
      </x:c>
      <x:c r="B16" s="7" t="str">
        <x:v>CQ-028</x:v>
      </x:c>
      <x:c r="C16" s="7" t="str">
        <x:v>CQ</x:v>
      </x:c>
      <x:c r="D16" s="7" t="str">
        <x:v>E</x:v>
      </x:c>
      <x:c r="E16" s="8" t="str">
        <x:v>李子晗</x:v>
      </x:c>
      <x:c r="F16" s="10" t="str">
        <x:v>重庆市南渝中学校</x:v>
      </x:c>
      <x:c r="G16" s="12" t="n">
        <x:f>SUM(H16:J16)+K16</x:f>
        <x:v>637</x:v>
      </x:c>
      <x:c r="H16" s="12" t="n">
        <x:v>100</x:v>
      </x:c>
      <x:c r="I16" s="12" t="n">
        <x:v>250</x:v>
      </x:c>
      <x:c r="J16" s="12" t="n">
        <x:v>287</x:v>
      </x:c>
      <x:c r="K16" s="12" t="n">
        <x:f>IF(D16="A",5,0)</x:f>
        <x:v>0</x:v>
      </x:c>
    </x:row>
    <x:row r="17" ht="30" customHeight="1">
      <x:c r="A17" s="11" t="n">
        <x:f>RANK.EQ(G17,$G$2:$G$523,0)</x:f>
        <x:v>15</x:v>
      </x:c>
      <x:c r="B17" s="7" t="str">
        <x:v>HA-003</x:v>
      </x:c>
      <x:c r="C17" s="7" t="str">
        <x:v>HA</x:v>
      </x:c>
      <x:c r="D17" s="7" t="str">
        <x:v>A</x:v>
      </x:c>
      <x:c r="E17" s="8" t="str">
        <x:v>赵一博</x:v>
      </x:c>
      <x:c r="F17" s="10" t="str">
        <x:v>郑州外国语学校</x:v>
      </x:c>
      <x:c r="G17" s="12" t="n">
        <x:f>SUM(H17:J17)+K17</x:f>
        <x:v>637</x:v>
      </x:c>
      <x:c r="H17" s="12" t="n">
        <x:v>100</x:v>
      </x:c>
      <x:c r="I17" s="12" t="n">
        <x:v>292</x:v>
      </x:c>
      <x:c r="J17" s="12" t="n">
        <x:v>240</x:v>
      </x:c>
      <x:c r="K17" s="12" t="n">
        <x:f>IF(D17="A",5,0)</x:f>
        <x:v>5</x:v>
      </x:c>
    </x:row>
    <x:row r="18" ht="30" customHeight="1">
      <x:c r="A18" s="11" t="n">
        <x:f>RANK.EQ(G18,$G$2:$G$523,0)</x:f>
        <x:v>17</x:v>
      </x:c>
      <x:c r="B18" s="7" t="str">
        <x:v>ZJ-009</x:v>
      </x:c>
      <x:c r="C18" s="7" t="str">
        <x:v>ZJ</x:v>
      </x:c>
      <x:c r="D18" s="7" t="str">
        <x:v>B</x:v>
      </x:c>
      <x:c r="E18" s="8" t="str">
        <x:v>黄仁和</x:v>
      </x:c>
      <x:c r="F18" s="10" t="str">
        <x:v>浙江省温州中学</x:v>
      </x:c>
      <x:c r="G18" s="12" t="n">
        <x:f>SUM(H18:J18)+K18</x:f>
        <x:v>632</x:v>
      </x:c>
      <x:c r="H18" s="12" t="n">
        <x:v>100</x:v>
      </x:c>
      <x:c r="I18" s="12" t="n">
        <x:v>260</x:v>
      </x:c>
      <x:c r="J18" s="12" t="n">
        <x:v>272</x:v>
      </x:c>
      <x:c r="K18" s="12" t="n">
        <x:f>IF(D18="A",5,0)</x:f>
        <x:v>0</x:v>
      </x:c>
    </x:row>
    <x:row r="19" ht="30" customHeight="1">
      <x:c r="A19" s="11" t="n">
        <x:f>RANK.EQ(G19,$G$2:$G$523,0)</x:f>
        <x:v>18</x:v>
      </x:c>
      <x:c r="B19" s="7" t="str">
        <x:v>SH-004</x:v>
      </x:c>
      <x:c r="C19" s="7" t="str">
        <x:v>SH</x:v>
      </x:c>
      <x:c r="D19" s="7" t="str">
        <x:v>A</x:v>
      </x:c>
      <x:c r="E19" s="8" t="str">
        <x:v>陈思瀚</x:v>
      </x:c>
      <x:c r="F19" s="10" t="str">
        <x:v>上海外国语大学附属外国语学校</x:v>
      </x:c>
      <x:c r="G19" s="12" t="n">
        <x:f>SUM(H19:J19)+K19</x:f>
        <x:v>621</x:v>
      </x:c>
      <x:c r="H19" s="12" t="n">
        <x:v>100</x:v>
      </x:c>
      <x:c r="I19" s="12" t="n">
        <x:v>300</x:v>
      </x:c>
      <x:c r="J19" s="12" t="n">
        <x:v>216</x:v>
      </x:c>
      <x:c r="K19" s="12" t="n">
        <x:f>IF(D19="A",5,0)</x:f>
        <x:v>5</x:v>
      </x:c>
    </x:row>
    <x:row r="20" ht="30" customHeight="1">
      <x:c r="A20" s="11" t="n">
        <x:f>RANK.EQ(G20,$G$2:$G$523,0)</x:f>
        <x:v>19</x:v>
      </x:c>
      <x:c r="B20" s="7" t="str">
        <x:v>HB-002</x:v>
      </x:c>
      <x:c r="C20" s="7" t="str">
        <x:v>HB</x:v>
      </x:c>
      <x:c r="D20" s="7" t="str">
        <x:v>A</x:v>
      </x:c>
      <x:c r="E20" s="8" t="str">
        <x:v>柳子宁</x:v>
      </x:c>
      <x:c r="F20" s="10" t="str">
        <x:v>华中师范大学第一附属中学</x:v>
      </x:c>
      <x:c r="G20" s="12" t="n">
        <x:f>SUM(H20:J20)+K20</x:f>
        <x:v>620</x:v>
      </x:c>
      <x:c r="H20" s="12" t="n">
        <x:v>100</x:v>
      </x:c>
      <x:c r="I20" s="12" t="n">
        <x:v>283</x:v>
      </x:c>
      <x:c r="J20" s="12" t="n">
        <x:v>232</x:v>
      </x:c>
      <x:c r="K20" s="12" t="n">
        <x:f>IF(D20="A",5,0)</x:f>
        <x:v>5</x:v>
      </x:c>
    </x:row>
    <x:row r="21" ht="30" customHeight="1">
      <x:c r="A21" s="11" t="n">
        <x:f>RANK.EQ(G21,$G$2:$G$523,0)</x:f>
        <x:v>20</x:v>
      </x:c>
      <x:c r="B21" s="7" t="str">
        <x:v>CQ-001</x:v>
      </x:c>
      <x:c r="C21" s="7" t="str">
        <x:v>CQ</x:v>
      </x:c>
      <x:c r="D21" s="7" t="str">
        <x:v>A</x:v>
      </x:c>
      <x:c r="E21" s="8" t="str">
        <x:v>殷骏</x:v>
      </x:c>
      <x:c r="F21" s="10" t="str">
        <x:v>重庆市巴蜀中学校</x:v>
      </x:c>
      <x:c r="G21" s="12" t="n">
        <x:f>SUM(H21:J21)+K21</x:f>
        <x:v>619</x:v>
      </x:c>
      <x:c r="H21" s="12" t="n">
        <x:v>100</x:v>
      </x:c>
      <x:c r="I21" s="12" t="n">
        <x:v>214</x:v>
      </x:c>
      <x:c r="J21" s="12" t="n">
        <x:v>300</x:v>
      </x:c>
      <x:c r="K21" s="12" t="n">
        <x:f>IF(D21="A",5,0)</x:f>
        <x:v>5</x:v>
      </x:c>
    </x:row>
    <x:row r="22" ht="30" customHeight="1">
      <x:c r="A22" s="11" t="n">
        <x:f>RANK.EQ(G22,$G$2:$G$523,0)</x:f>
        <x:v>20</x:v>
      </x:c>
      <x:c r="B22" s="7" t="str">
        <x:v>HA-005</x:v>
      </x:c>
      <x:c r="C22" s="7" t="str">
        <x:v>HA</x:v>
      </x:c>
      <x:c r="D22" s="7" t="str">
        <x:v>A</x:v>
      </x:c>
      <x:c r="E22" s="8" t="str">
        <x:v>赵旭航</x:v>
      </x:c>
      <x:c r="F22" s="10" t="str">
        <x:v>郑州外国语学校</x:v>
      </x:c>
      <x:c r="G22" s="12" t="n">
        <x:f>SUM(H22:J22)+K22</x:f>
        <x:v>619</x:v>
      </x:c>
      <x:c r="H22" s="12" t="n">
        <x:v>100</x:v>
      </x:c>
      <x:c r="I22" s="12" t="n">
        <x:v>298</x:v>
      </x:c>
      <x:c r="J22" s="12" t="n">
        <x:v>216</x:v>
      </x:c>
      <x:c r="K22" s="12" t="n">
        <x:f>IF(D22="A",5,0)</x:f>
        <x:v>5</x:v>
      </x:c>
    </x:row>
    <x:row r="23" ht="30" customHeight="1">
      <x:c r="A23" s="11" t="n">
        <x:f>RANK.EQ(G23,$G$2:$G$523,0)</x:f>
        <x:v>22</x:v>
      </x:c>
      <x:c r="B23" s="7" t="str">
        <x:v>GS-004</x:v>
      </x:c>
      <x:c r="C23" s="7" t="str">
        <x:v>GS</x:v>
      </x:c>
      <x:c r="D23" s="7" t="str">
        <x:v>A</x:v>
      </x:c>
      <x:c r="E23" s="8" t="str">
        <x:v>李劭鸿</x:v>
      </x:c>
      <x:c r="F23" s="10" t="str">
        <x:v>西北师范大学附属中学</x:v>
      </x:c>
      <x:c r="G23" s="12" t="n">
        <x:f>SUM(H23:J23)+K23</x:f>
        <x:v>617</x:v>
      </x:c>
      <x:c r="H23" s="12" t="n">
        <x:v>100</x:v>
      </x:c>
      <x:c r="I23" s="12" t="n">
        <x:v>270</x:v>
      </x:c>
      <x:c r="J23" s="12" t="n">
        <x:v>242</x:v>
      </x:c>
      <x:c r="K23" s="12" t="n">
        <x:f>IF(D23="A",5,0)</x:f>
        <x:v>5</x:v>
      </x:c>
    </x:row>
    <x:row r="24" ht="30" customHeight="1">
      <x:c r="A24" s="11" t="n">
        <x:f>RANK.EQ(G24,$G$2:$G$523,0)</x:f>
        <x:v>22</x:v>
      </x:c>
      <x:c r="B24" s="7" t="str">
        <x:v>ZJ-006</x:v>
      </x:c>
      <x:c r="C24" s="7" t="str">
        <x:v>ZJ</x:v>
      </x:c>
      <x:c r="D24" s="7" t="str">
        <x:v>B</x:v>
      </x:c>
      <x:c r="E24" s="8" t="str">
        <x:v>陈子易</x:v>
      </x:c>
      <x:c r="F24" s="10" t="str">
        <x:v>宁波市镇海蛟川书院</x:v>
      </x:c>
      <x:c r="G24" s="12" t="n">
        <x:f>SUM(H24:J24)+K24</x:f>
        <x:v>617</x:v>
      </x:c>
      <x:c r="H24" s="12" t="n">
        <x:v>100</x:v>
      </x:c>
      <x:c r="I24" s="12" t="n">
        <x:v>237</x:v>
      </x:c>
      <x:c r="J24" s="12" t="n">
        <x:v>280</x:v>
      </x:c>
      <x:c r="K24" s="12" t="n">
        <x:f>IF(D24="A",5,0)</x:f>
        <x:v>0</x:v>
      </x:c>
    </x:row>
    <x:row r="25" ht="30" customHeight="1">
      <x:c r="A25" s="11" t="n">
        <x:f>RANK.EQ(G25,$G$2:$G$523,0)</x:f>
        <x:v>24</x:v>
      </x:c>
      <x:c r="B25" s="7" t="str">
        <x:v>BJ-002</x:v>
      </x:c>
      <x:c r="C25" s="7" t="str">
        <x:v>BJ</x:v>
      </x:c>
      <x:c r="D25" s="7" t="str">
        <x:v>A</x:v>
      </x:c>
      <x:c r="E25" s="8" t="str">
        <x:v>柳宏谦</x:v>
      </x:c>
      <x:c r="F25" s="10" t="str">
        <x:v>中国人民大学附属中学</x:v>
      </x:c>
      <x:c r="G25" s="12" t="n">
        <x:f>SUM(H25:J25)+K25</x:f>
        <x:v>614</x:v>
      </x:c>
      <x:c r="H25" s="12" t="n">
        <x:v>100</x:v>
      </x:c>
      <x:c r="I25" s="12" t="n">
        <x:v>269</x:v>
      </x:c>
      <x:c r="J25" s="12" t="n">
        <x:v>240</x:v>
      </x:c>
      <x:c r="K25" s="12" t="n">
        <x:f>IF(D25="A",5,0)</x:f>
        <x:v>5</x:v>
      </x:c>
    </x:row>
    <x:row r="26" ht="30" customHeight="1">
      <x:c r="A26" s="11" t="n">
        <x:f>RANK.EQ(G26,$G$2:$G$523,0)</x:f>
        <x:v>24</x:v>
      </x:c>
      <x:c r="B26" s="7" t="str">
        <x:v>SD-002</x:v>
      </x:c>
      <x:c r="C26" s="7" t="str">
        <x:v>SD</x:v>
      </x:c>
      <x:c r="D26" s="7" t="str">
        <x:v>A</x:v>
      </x:c>
      <x:c r="E26" s="8" t="str">
        <x:v>郝泽睿</x:v>
      </x:c>
      <x:c r="F26" s="10" t="str">
        <x:v>济南市历城第二中学</x:v>
      </x:c>
      <x:c r="G26" s="12" t="n">
        <x:f>SUM(H26:J26)+K26</x:f>
        <x:v>614</x:v>
      </x:c>
      <x:c r="H26" s="12" t="n">
        <x:v>100</x:v>
      </x:c>
      <x:c r="I26" s="12" t="n">
        <x:v>269</x:v>
      </x:c>
      <x:c r="J26" s="12" t="n">
        <x:v>240</x:v>
      </x:c>
      <x:c r="K26" s="12" t="n">
        <x:f>IF(D26="A",5,0)</x:f>
        <x:v>5</x:v>
      </x:c>
    </x:row>
    <x:row r="27" ht="30" customHeight="1">
      <x:c r="A27" s="11" t="n">
        <x:f>RANK.EQ(G27,$G$2:$G$523,0)</x:f>
        <x:v>26</x:v>
      </x:c>
      <x:c r="B27" s="7" t="str">
        <x:v>JS-002</x:v>
      </x:c>
      <x:c r="C27" s="7" t="str">
        <x:v>JS</x:v>
      </x:c>
      <x:c r="D27" s="7" t="str">
        <x:v>A</x:v>
      </x:c>
      <x:c r="E27" s="8" t="str">
        <x:v>仇嘉明</x:v>
      </x:c>
      <x:c r="F27" s="10" t="str">
        <x:v>南京市金陵河西学校</x:v>
      </x:c>
      <x:c r="G27" s="12" t="n">
        <x:f>SUM(H27:J27)+K27</x:f>
        <x:v>613</x:v>
      </x:c>
      <x:c r="H27" s="12" t="n">
        <x:v>100</x:v>
      </x:c>
      <x:c r="I27" s="12" t="n">
        <x:v>300</x:v>
      </x:c>
      <x:c r="J27" s="12" t="n">
        <x:v>208</x:v>
      </x:c>
      <x:c r="K27" s="12" t="n">
        <x:f>IF(D27="A",5,0)</x:f>
        <x:v>5</x:v>
      </x:c>
    </x:row>
    <x:row r="28" ht="30" customHeight="1">
      <x:c r="A28" s="11" t="n">
        <x:f>RANK.EQ(G28,$G$2:$G$523,0)</x:f>
        <x:v>27</x:v>
      </x:c>
      <x:c r="B28" s="7" t="str">
        <x:v>OI-001</x:v>
      </x:c>
      <x:c r="C28" s="7" t="str">
        <x:v>OI</x:v>
      </x:c>
      <x:c r="D28" s="7" t="str">
        <x:v>IOI</x:v>
      </x:c>
      <x:c r="E28" s="8" t="str">
        <x:v>刘家炜</x:v>
      </x:c>
      <x:c r="F28" s="10" t="str">
        <x:v>重庆市巴蜀中学校</x:v>
      </x:c>
      <x:c r="G28" s="12" t="n">
        <x:f>SUM(H28:J28)+K28</x:f>
        <x:v>612</x:v>
      </x:c>
      <x:c r="H28" s="12" t="n">
        <x:v>100</x:v>
      </x:c>
      <x:c r="I28" s="12" t="n">
        <x:v>300</x:v>
      </x:c>
      <x:c r="J28" s="12" t="n">
        <x:v>212</x:v>
      </x:c>
      <x:c r="K28" s="12" t="n">
        <x:f>IF(D28="A",5,0)</x:f>
        <x:v>0</x:v>
      </x:c>
    </x:row>
    <x:row r="29" ht="30" customHeight="1">
      <x:c r="A29" s="11" t="n">
        <x:f>RANK.EQ(G29,$G$2:$G$523,0)</x:f>
        <x:v>28</x:v>
      </x:c>
      <x:c r="B29" s="7" t="str">
        <x:v>GD-003</x:v>
      </x:c>
      <x:c r="C29" s="7" t="str">
        <x:v>GD</x:v>
      </x:c>
      <x:c r="D29" s="7" t="str">
        <x:v>A</x:v>
      </x:c>
      <x:c r="E29" s="8" t="str">
        <x:v>叶隽霖</x:v>
      </x:c>
      <x:c r="F29" s="10" t="str">
        <x:v>华南师范大学附属中学</x:v>
      </x:c>
      <x:c r="G29" s="12" t="n">
        <x:f>SUM(H29:J29)+K29</x:f>
        <x:v>609</x:v>
      </x:c>
      <x:c r="H29" s="12" t="n">
        <x:v>100</x:v>
      </x:c>
      <x:c r="I29" s="12" t="n">
        <x:v>297</x:v>
      </x:c>
      <x:c r="J29" s="12" t="n">
        <x:v>207</x:v>
      </x:c>
      <x:c r="K29" s="12" t="n">
        <x:f>IF(D29="A",5,0)</x:f>
        <x:v>5</x:v>
      </x:c>
    </x:row>
    <x:row r="30" ht="30" customHeight="1">
      <x:c r="A30" s="11" t="n">
        <x:f>RANK.EQ(G30,$G$2:$G$523,0)</x:f>
        <x:v>28</x:v>
      </x:c>
      <x:c r="B30" s="7" t="str">
        <x:v>GD-009</x:v>
      </x:c>
      <x:c r="C30" s="7" t="str">
        <x:v>GD</x:v>
      </x:c>
      <x:c r="D30" s="7" t="str">
        <x:v>B</x:v>
      </x:c>
      <x:c r="E30" s="8" t="str">
        <x:v>叶名瀚</x:v>
      </x:c>
      <x:c r="F30" s="10" t="str">
        <x:v>华南师范大学附属中学</x:v>
      </x:c>
      <x:c r="G30" s="12" t="n">
        <x:f>SUM(H30:J30)+K30</x:f>
        <x:v>609</x:v>
      </x:c>
      <x:c r="H30" s="12" t="n">
        <x:v>100</x:v>
      </x:c>
      <x:c r="I30" s="12" t="n">
        <x:v>297</x:v>
      </x:c>
      <x:c r="J30" s="12" t="n">
        <x:v>212</x:v>
      </x:c>
      <x:c r="K30" s="12" t="n">
        <x:f>IF(D30="A",5,0)</x:f>
        <x:v>0</x:v>
      </x:c>
    </x:row>
    <x:row r="31" ht="30" customHeight="1">
      <x:c r="A31" s="11" t="n">
        <x:f>RANK.EQ(G31,$G$2:$G$523,0)</x:f>
        <x:v>30</x:v>
      </x:c>
      <x:c r="B31" s="7" t="str">
        <x:v>HN-001</x:v>
      </x:c>
      <x:c r="C31" s="7" t="str">
        <x:v>HN</x:v>
      </x:c>
      <x:c r="D31" s="7" t="str">
        <x:v>A</x:v>
      </x:c>
      <x:c r="E31" s="8" t="str">
        <x:v>程楷轩</x:v>
      </x:c>
      <x:c r="F31" s="10" t="str">
        <x:v>长沙市长郡中学</x:v>
      </x:c>
      <x:c r="G31" s="12" t="n">
        <x:f>SUM(H31:J31)+K31</x:f>
        <x:v>606</x:v>
      </x:c>
      <x:c r="H31" s="12" t="n">
        <x:v>100</x:v>
      </x:c>
      <x:c r="I31" s="12" t="n">
        <x:v>293</x:v>
      </x:c>
      <x:c r="J31" s="12" t="n">
        <x:v>208</x:v>
      </x:c>
      <x:c r="K31" s="12" t="n">
        <x:f>IF(D31="A",5,0)</x:f>
        <x:v>5</x:v>
      </x:c>
    </x:row>
    <x:row r="32" ht="30" customHeight="1">
      <x:c r="A32" s="11" t="n">
        <x:f>RANK.EQ(G32,$G$2:$G$523,0)</x:f>
        <x:v>30</x:v>
      </x:c>
      <x:c r="B32" s="7" t="str">
        <x:v>ZJ-008</x:v>
      </x:c>
      <x:c r="C32" s="7" t="str">
        <x:v>ZJ</x:v>
      </x:c>
      <x:c r="D32" s="7" t="str">
        <x:v>B</x:v>
      </x:c>
      <x:c r="E32" s="8" t="str">
        <x:v>郭音赫</x:v>
      </x:c>
      <x:c r="F32" s="10" t="str">
        <x:v>杭州第二中学</x:v>
      </x:c>
      <x:c r="G32" s="12" t="n">
        <x:f>SUM(H32:J32)+K32</x:f>
        <x:v>606</x:v>
      </x:c>
      <x:c r="H32" s="12" t="n">
        <x:v>100</x:v>
      </x:c>
      <x:c r="I32" s="12" t="n">
        <x:v>290</x:v>
      </x:c>
      <x:c r="J32" s="12" t="n">
        <x:v>216</x:v>
      </x:c>
      <x:c r="K32" s="12" t="n">
        <x:f>IF(D32="A",5,0)</x:f>
        <x:v>0</x:v>
      </x:c>
    </x:row>
    <x:row r="33" ht="30" customHeight="1">
      <x:c r="A33" s="11" t="n">
        <x:f>RANK.EQ(G33,$G$2:$G$523,0)</x:f>
        <x:v>32</x:v>
      </x:c>
      <x:c r="B33" s="7" t="str">
        <x:v>FJ-003</x:v>
      </x:c>
      <x:c r="C33" s="7" t="str">
        <x:v>FJ</x:v>
      </x:c>
      <x:c r="D33" s="7" t="str">
        <x:v>A</x:v>
      </x:c>
      <x:c r="E33" s="8" t="str">
        <x:v>林一帆</x:v>
      </x:c>
      <x:c r="F33" s="10" t="str">
        <x:v>福建省福州第一中学</x:v>
      </x:c>
      <x:c r="G33" s="12" t="n">
        <x:f>SUM(H33:J33)+K33</x:f>
        <x:v>603</x:v>
      </x:c>
      <x:c r="H33" s="12" t="n">
        <x:v>100</x:v>
      </x:c>
      <x:c r="I33" s="12" t="n">
        <x:v>214</x:v>
      </x:c>
      <x:c r="J33" s="12" t="n">
        <x:v>284</x:v>
      </x:c>
      <x:c r="K33" s="12" t="n">
        <x:f>IF(D33="A",5,0)</x:f>
        <x:v>5</x:v>
      </x:c>
    </x:row>
    <x:row r="34" ht="30" customHeight="1">
      <x:c r="A34" s="11" t="n">
        <x:f>RANK.EQ(G34,$G$2:$G$523,0)</x:f>
        <x:v>33</x:v>
      </x:c>
      <x:c r="B34" s="7" t="str">
        <x:v>GD-001</x:v>
      </x:c>
      <x:c r="C34" s="7" t="str">
        <x:v>GD</x:v>
      </x:c>
      <x:c r="D34" s="7" t="str">
        <x:v>A</x:v>
      </x:c>
      <x:c r="E34" s="8" t="str">
        <x:v>范璟阳</x:v>
      </x:c>
      <x:c r="F34" s="10" t="str">
        <x:v>广州市第二中学</x:v>
      </x:c>
      <x:c r="G34" s="12" t="n">
        <x:f>SUM(H34:J34)+K34</x:f>
        <x:v>602</x:v>
      </x:c>
      <x:c r="H34" s="12" t="n">
        <x:v>100</x:v>
      </x:c>
      <x:c r="I34" s="12" t="n">
        <x:v>289</x:v>
      </x:c>
      <x:c r="J34" s="12" t="n">
        <x:v>208</x:v>
      </x:c>
      <x:c r="K34" s="12" t="n">
        <x:f>IF(D34="A",5,0)</x:f>
        <x:v>5</x:v>
      </x:c>
    </x:row>
    <x:row r="35" ht="30" customHeight="1">
      <x:c r="A35" s="11" t="n">
        <x:f>RANK.EQ(G35,$G$2:$G$523,0)</x:f>
        <x:v>34</x:v>
      </x:c>
      <x:c r="B35" s="7" t="str">
        <x:v>HB-003</x:v>
      </x:c>
      <x:c r="C35" s="7" t="str">
        <x:v>HB</x:v>
      </x:c>
      <x:c r="D35" s="7" t="str">
        <x:v>A</x:v>
      </x:c>
      <x:c r="E35" s="8" t="str">
        <x:v>翁佳良</x:v>
      </x:c>
      <x:c r="F35" s="10" t="str">
        <x:v>武汉外国语学校</x:v>
      </x:c>
      <x:c r="G35" s="12" t="n">
        <x:f>SUM(H35:J35)+K35</x:f>
        <x:v>601</x:v>
      </x:c>
      <x:c r="H35" s="12" t="n">
        <x:v>100</x:v>
      </x:c>
      <x:c r="I35" s="12" t="n">
        <x:v>248</x:v>
      </x:c>
      <x:c r="J35" s="12" t="n">
        <x:v>248</x:v>
      </x:c>
      <x:c r="K35" s="12" t="n">
        <x:f>IF(D35="A",5,0)</x:f>
        <x:v>5</x:v>
      </x:c>
    </x:row>
    <x:row r="36" ht="30" customHeight="1">
      <x:c r="A36" s="11" t="n">
        <x:f>RANK.EQ(G36,$G$2:$G$523,0)</x:f>
        <x:v>35</x:v>
      </x:c>
      <x:c r="B36" s="7" t="str">
        <x:v>OI-002</x:v>
      </x:c>
      <x:c r="C36" s="7" t="str">
        <x:v>OI</x:v>
      </x:c>
      <x:c r="D36" s="7" t="str">
        <x:v>IOI</x:v>
      </x:c>
      <x:c r="E36" s="8" t="str">
        <x:v>赵晟昊</x:v>
      </x:c>
      <x:c r="F36" s="10" t="str">
        <x:v>浙江金华第一中学</x:v>
      </x:c>
      <x:c r="G36" s="12" t="n">
        <x:f>SUM(H36:J36)+K36</x:f>
        <x:v>599</x:v>
      </x:c>
      <x:c r="H36" s="12" t="n">
        <x:v>99</x:v>
      </x:c>
      <x:c r="I36" s="12" t="n">
        <x:v>300</x:v>
      </x:c>
      <x:c r="J36" s="12" t="n">
        <x:v>200</x:v>
      </x:c>
      <x:c r="K36" s="12" t="n">
        <x:f>IF(D36="A",5,0)</x:f>
        <x:v>0</x:v>
      </x:c>
    </x:row>
    <x:row r="37" ht="30" customHeight="1">
      <x:c r="A37" s="11" t="n">
        <x:f>RANK.EQ(G37,$G$2:$G$523,0)</x:f>
        <x:v>36</x:v>
      </x:c>
      <x:c r="B37" s="7" t="str">
        <x:v>CQ-002</x:v>
      </x:c>
      <x:c r="C37" s="7" t="str">
        <x:v>CQ</x:v>
      </x:c>
      <x:c r="D37" s="7" t="str">
        <x:v>A</x:v>
      </x:c>
      <x:c r="E37" s="8" t="str">
        <x:v>李奕希</x:v>
      </x:c>
      <x:c r="F37" s="10" t="str">
        <x:v>重庆市南开中学校</x:v>
      </x:c>
      <x:c r="G37" s="12" t="n">
        <x:f>SUM(H37:J37)+K37</x:f>
        <x:v>598</x:v>
      </x:c>
      <x:c r="H37" s="12" t="n">
        <x:v>100</x:v>
      </x:c>
      <x:c r="I37" s="12" t="n">
        <x:v>281</x:v>
      </x:c>
      <x:c r="J37" s="12" t="n">
        <x:v>212</x:v>
      </x:c>
      <x:c r="K37" s="12" t="n">
        <x:f>IF(D37="A",5,0)</x:f>
        <x:v>5</x:v>
      </x:c>
    </x:row>
    <x:row r="38" ht="30" customHeight="1">
      <x:c r="A38" s="11" t="n">
        <x:f>RANK.EQ(G38,$G$2:$G$523,0)</x:f>
        <x:v>37</x:v>
      </x:c>
      <x:c r="B38" s="7" t="str">
        <x:v>BJ-001</x:v>
      </x:c>
      <x:c r="C38" s="7" t="str">
        <x:v>BJ</x:v>
      </x:c>
      <x:c r="D38" s="7" t="str">
        <x:v>A</x:v>
      </x:c>
      <x:c r="E38" s="8" t="str">
        <x:v>胡筝</x:v>
      </x:c>
      <x:c r="F38" s="10" t="str">
        <x:v>北京中学</x:v>
      </x:c>
      <x:c r="G38" s="12" t="n">
        <x:f>SUM(H38:J38)+K38</x:f>
        <x:v>597</x:v>
      </x:c>
      <x:c r="H38" s="12" t="n">
        <x:v>100</x:v>
      </x:c>
      <x:c r="I38" s="12" t="n">
        <x:v>288</x:v>
      </x:c>
      <x:c r="J38" s="12" t="n">
        <x:v>204</x:v>
      </x:c>
      <x:c r="K38" s="12" t="n">
        <x:f>IF(D38="A",5,0)</x:f>
        <x:v>5</x:v>
      </x:c>
    </x:row>
    <x:row r="39" ht="30" customHeight="1">
      <x:c r="A39" s="11" t="n">
        <x:f>RANK.EQ(G39,$G$2:$G$523,0)</x:f>
        <x:v>37</x:v>
      </x:c>
      <x:c r="B39" s="7" t="str">
        <x:v>JS-006</x:v>
      </x:c>
      <x:c r="C39" s="7" t="str">
        <x:v>JS</x:v>
      </x:c>
      <x:c r="D39" s="7" t="str">
        <x:v>B</x:v>
      </x:c>
      <x:c r="E39" s="8" t="str">
        <x:v>郑乐章</x:v>
      </x:c>
      <x:c r="F39" s="10" t="str">
        <x:v>江苏省苏州中学校</x:v>
      </x:c>
      <x:c r="G39" s="12" t="n">
        <x:f>SUM(H39:J39)+K39</x:f>
        <x:v>597</x:v>
      </x:c>
      <x:c r="H39" s="12" t="n">
        <x:v>100</x:v>
      </x:c>
      <x:c r="I39" s="12" t="n">
        <x:v>289</x:v>
      </x:c>
      <x:c r="J39" s="12" t="n">
        <x:v>208</x:v>
      </x:c>
      <x:c r="K39" s="12" t="n">
        <x:f>IF(D39="A",5,0)</x:f>
        <x:v>0</x:v>
      </x:c>
    </x:row>
    <x:row r="40" ht="30" customHeight="1">
      <x:c r="A40" s="11" t="n">
        <x:f>RANK.EQ(G40,$G$2:$G$523,0)</x:f>
        <x:v>39</x:v>
      </x:c>
      <x:c r="B40" s="7" t="str">
        <x:v>SH-008</x:v>
      </x:c>
      <x:c r="C40" s="7" t="str">
        <x:v>SH</x:v>
      </x:c>
      <x:c r="D40" s="7" t="str">
        <x:v>B</x:v>
      </x:c>
      <x:c r="E40" s="8" t="str">
        <x:v>吴思成</x:v>
      </x:c>
      <x:c r="F40" s="10" t="str">
        <x:v>上海外国语大学附属外国语学校</x:v>
      </x:c>
      <x:c r="G40" s="12" t="n">
        <x:f>SUM(H40:J40)+K40</x:f>
        <x:v>596</x:v>
      </x:c>
      <x:c r="H40" s="12" t="n">
        <x:v>100</x:v>
      </x:c>
      <x:c r="I40" s="12" t="n">
        <x:v>272</x:v>
      </x:c>
      <x:c r="J40" s="12" t="n">
        <x:v>224</x:v>
      </x:c>
      <x:c r="K40" s="12" t="n">
        <x:f>IF(D40="A",5,0)</x:f>
        <x:v>0</x:v>
      </x:c>
    </x:row>
    <x:row r="41" ht="30" customHeight="1">
      <x:c r="A41" s="11" t="n">
        <x:f>RANK.EQ(G41,$G$2:$G$523,0)</x:f>
        <x:v>40</x:v>
      </x:c>
      <x:c r="B41" s="7" t="str">
        <x:v>SH-003</x:v>
      </x:c>
      <x:c r="C41" s="7" t="str">
        <x:v>SH</x:v>
      </x:c>
      <x:c r="D41" s="7" t="str">
        <x:v>A</x:v>
      </x:c>
      <x:c r="E41" s="8" t="str">
        <x:v>王翊临</x:v>
      </x:c>
      <x:c r="F41" s="10" t="str">
        <x:v>上海市曹杨第二中学</x:v>
      </x:c>
      <x:c r="G41" s="12" t="n">
        <x:f>SUM(H41:J41)+K41</x:f>
        <x:v>589</x:v>
      </x:c>
      <x:c r="H41" s="12" t="n">
        <x:v>100</x:v>
      </x:c>
      <x:c r="I41" s="12" t="n">
        <x:v>244</x:v>
      </x:c>
      <x:c r="J41" s="12" t="n">
        <x:v>240</x:v>
      </x:c>
      <x:c r="K41" s="12" t="n">
        <x:f>IF(D41="A",5,0)</x:f>
        <x:v>5</x:v>
      </x:c>
    </x:row>
    <x:row r="42" ht="30" customHeight="1">
      <x:c r="A42" s="11" t="n">
        <x:f>RANK.EQ(G42,$G$2:$G$523,0)</x:f>
        <x:v>41</x:v>
      </x:c>
      <x:c r="B42" s="7" t="str">
        <x:v>ZJ-011</x:v>
      </x:c>
      <x:c r="C42" s="7" t="str">
        <x:v>ZJ</x:v>
      </x:c>
      <x:c r="D42" s="7" t="str">
        <x:v>B</x:v>
      </x:c>
      <x:c r="E42" s="8" t="str">
        <x:v>刘梓逸</x:v>
      </x:c>
      <x:c r="F42" s="10" t="str">
        <x:v>宁波市镇海中学</x:v>
      </x:c>
      <x:c r="G42" s="12" t="n">
        <x:f>SUM(H42:J42)+K42</x:f>
        <x:v>588</x:v>
      </x:c>
      <x:c r="H42" s="12" t="n">
        <x:v>100</x:v>
      </x:c>
      <x:c r="I42" s="12" t="n">
        <x:v>276</x:v>
      </x:c>
      <x:c r="J42" s="12" t="n">
        <x:v>212</x:v>
      </x:c>
      <x:c r="K42" s="12" t="n">
        <x:f>IF(D42="A",5,0)</x:f>
        <x:v>0</x:v>
      </x:c>
    </x:row>
    <x:row r="43" ht="30" customHeight="1">
      <x:c r="A43" s="11" t="n">
        <x:f>RANK.EQ(G43,$G$2:$G$523,0)</x:f>
        <x:v>42</x:v>
      </x:c>
      <x:c r="B43" s="7" t="str">
        <x:v>BJ-019</x:v>
      </x:c>
      <x:c r="C43" s="7" t="str">
        <x:v>BJ</x:v>
      </x:c>
      <x:c r="D43" s="7" t="str">
        <x:v>B</x:v>
      </x:c>
      <x:c r="E43" s="8" t="str">
        <x:v>邵敏楷</x:v>
      </x:c>
      <x:c r="F43" s="10" t="str">
        <x:v>中国人民大学附属中学</x:v>
      </x:c>
      <x:c r="G43" s="12" t="n">
        <x:f>SUM(H43:J43)+K43</x:f>
        <x:v>583</x:v>
      </x:c>
      <x:c r="H43" s="12" t="n">
        <x:v>100</x:v>
      </x:c>
      <x:c r="I43" s="12" t="n">
        <x:v>279</x:v>
      </x:c>
      <x:c r="J43" s="12" t="n">
        <x:v>204</x:v>
      </x:c>
      <x:c r="K43" s="12" t="n">
        <x:f>IF(D43="A",5,0)</x:f>
        <x:v>0</x:v>
      </x:c>
    </x:row>
    <x:row r="44" ht="30" customHeight="1">
      <x:c r="A44" s="11" t="n">
        <x:f>RANK.EQ(G44,$G$2:$G$523,0)</x:f>
        <x:v>43</x:v>
      </x:c>
      <x:c r="B44" s="7" t="str">
        <x:v>AH-007</x:v>
      </x:c>
      <x:c r="C44" s="7" t="str">
        <x:v>AH</x:v>
      </x:c>
      <x:c r="D44" s="7" t="str">
        <x:v>B</x:v>
      </x:c>
      <x:c r="E44" s="8" t="str">
        <x:v>赵旭初</x:v>
      </x:c>
      <x:c r="F44" s="10" t="str">
        <x:v>安徽师范大学附属中学</x:v>
      </x:c>
      <x:c r="G44" s="12" t="n">
        <x:f>SUM(H44:J44)+K44</x:f>
        <x:v>582</x:v>
      </x:c>
      <x:c r="H44" s="12" t="n">
        <x:v>100</x:v>
      </x:c>
      <x:c r="I44" s="12" t="n">
        <x:v>247</x:v>
      </x:c>
      <x:c r="J44" s="12" t="n">
        <x:v>235</x:v>
      </x:c>
      <x:c r="K44" s="12" t="n">
        <x:f>IF(D44="A",5,0)</x:f>
        <x:v>0</x:v>
      </x:c>
    </x:row>
    <x:row r="45" ht="30" customHeight="1">
      <x:c r="A45" s="11" t="n">
        <x:f>RANK.EQ(G45,$G$2:$G$523,0)</x:f>
        <x:v>44</x:v>
      </x:c>
      <x:c r="B45" s="7" t="str">
        <x:v>FJ-008</x:v>
      </x:c>
      <x:c r="C45" s="7" t="str">
        <x:v>FJ</x:v>
      </x:c>
      <x:c r="D45" s="7" t="str">
        <x:v>B</x:v>
      </x:c>
      <x:c r="E45" s="8" t="str">
        <x:v>李悠然</x:v>
      </x:c>
      <x:c r="F45" s="10" t="str">
        <x:v>福建省厦门双十中学</x:v>
      </x:c>
      <x:c r="G45" s="12" t="n">
        <x:f>SUM(H45:J45)+K45</x:f>
        <x:v>581</x:v>
      </x:c>
      <x:c r="H45" s="12" t="n">
        <x:v>100</x:v>
      </x:c>
      <x:c r="I45" s="12" t="n">
        <x:v>273</x:v>
      </x:c>
      <x:c r="J45" s="12" t="n">
        <x:v>208</x:v>
      </x:c>
      <x:c r="K45" s="12" t="n">
        <x:f>IF(D45="A",5,0)</x:f>
        <x:v>0</x:v>
      </x:c>
    </x:row>
    <x:row r="46" ht="30" customHeight="1">
      <x:c r="A46" s="11" t="n">
        <x:f>RANK.EQ(G46,$G$2:$G$523,0)</x:f>
        <x:v>45</x:v>
      </x:c>
      <x:c r="B46" s="7" t="str">
        <x:v>BJ-010</x:v>
      </x:c>
      <x:c r="C46" s="7" t="str">
        <x:v>BJ</x:v>
      </x:c>
      <x:c r="D46" s="7" t="str">
        <x:v>B</x:v>
      </x:c>
      <x:c r="E46" s="8" t="str">
        <x:v>许远正</x:v>
      </x:c>
      <x:c r="F46" s="10" t="str">
        <x:v>北京大学附属中学</x:v>
      </x:c>
      <x:c r="G46" s="12" t="n">
        <x:f>SUM(H46:J46)+K46</x:f>
        <x:v>579</x:v>
      </x:c>
      <x:c r="H46" s="12" t="n">
        <x:v>100</x:v>
      </x:c>
      <x:c r="I46" s="12" t="n">
        <x:v>295</x:v>
      </x:c>
      <x:c r="J46" s="12" t="n">
        <x:v>184</x:v>
      </x:c>
      <x:c r="K46" s="12" t="n">
        <x:f>IF(D46="A",5,0)</x:f>
        <x:v>0</x:v>
      </x:c>
    </x:row>
    <x:row r="47" ht="30" customHeight="1">
      <x:c r="A47" s="11" t="n">
        <x:f>RANK.EQ(G47,$G$2:$G$523,0)</x:f>
        <x:v>46</x:v>
      </x:c>
      <x:c r="B47" s="7" t="str">
        <x:v>SC-003</x:v>
      </x:c>
      <x:c r="C47" s="7" t="str">
        <x:v>SC</x:v>
      </x:c>
      <x:c r="D47" s="7" t="str">
        <x:v>A</x:v>
      </x:c>
      <x:c r="E47" s="8" t="str">
        <x:v>王一杭</x:v>
      </x:c>
      <x:c r="F47" s="10" t="str">
        <x:v>成都东部新区第七中学校（成都七中东部学校）</x:v>
      </x:c>
      <x:c r="G47" s="12" t="n">
        <x:f>SUM(H47:J47)+K47</x:f>
        <x:v>578</x:v>
      </x:c>
      <x:c r="H47" s="12" t="n">
        <x:v>100</x:v>
      </x:c>
      <x:c r="I47" s="12" t="n">
        <x:v>273</x:v>
      </x:c>
      <x:c r="J47" s="12" t="n">
        <x:v>200</x:v>
      </x:c>
      <x:c r="K47" s="12" t="n">
        <x:f>IF(D47="A",5,0)</x:f>
        <x:v>5</x:v>
      </x:c>
    </x:row>
    <x:row r="48" ht="30" customHeight="1">
      <x:c r="A48" s="11" t="n">
        <x:f>RANK.EQ(G48,$G$2:$G$523,0)</x:f>
        <x:v>47</x:v>
      </x:c>
      <x:c r="B48" s="7" t="str">
        <x:v>JS-005</x:v>
      </x:c>
      <x:c r="C48" s="7" t="str">
        <x:v>JS</x:v>
      </x:c>
      <x:c r="D48" s="7" t="str">
        <x:v>A</x:v>
      </x:c>
      <x:c r="E48" s="8" t="str">
        <x:v>高近仁</x:v>
      </x:c>
      <x:c r="F48" s="10" t="str">
        <x:v>南京外国语学校</x:v>
      </x:c>
      <x:c r="G48" s="12" t="n">
        <x:f>SUM(H48:J48)+K48</x:f>
        <x:v>575</x:v>
      </x:c>
      <x:c r="H48" s="12" t="n">
        <x:v>100</x:v>
      </x:c>
      <x:c r="I48" s="12" t="n">
        <x:v>250</x:v>
      </x:c>
      <x:c r="J48" s="12" t="n">
        <x:v>220</x:v>
      </x:c>
      <x:c r="K48" s="12" t="n">
        <x:f>IF(D48="A",5,0)</x:f>
        <x:v>5</x:v>
      </x:c>
    </x:row>
    <x:row r="49" ht="30" customHeight="1">
      <x:c r="A49" s="11" t="n">
        <x:f>RANK.EQ(G49,$G$2:$G$523,0)</x:f>
        <x:v>48</x:v>
      </x:c>
      <x:c r="B49" s="7" t="str">
        <x:v>JS-012</x:v>
      </x:c>
      <x:c r="C49" s="7" t="str">
        <x:v>JS</x:v>
      </x:c>
      <x:c r="D49" s="7" t="str">
        <x:v>B</x:v>
      </x:c>
      <x:c r="E49" s="8" t="str">
        <x:v>施泽徐</x:v>
      </x:c>
      <x:c r="F49" s="10" t="str">
        <x:v>南京外国语学校</x:v>
      </x:c>
      <x:c r="G49" s="12" t="n">
        <x:f>SUM(H49:J49)+K49</x:f>
        <x:v>574</x:v>
      </x:c>
      <x:c r="H49" s="12" t="n">
        <x:v>100</x:v>
      </x:c>
      <x:c r="I49" s="12" t="n">
        <x:v>246</x:v>
      </x:c>
      <x:c r="J49" s="12" t="n">
        <x:v>228</x:v>
      </x:c>
      <x:c r="K49" s="12" t="n">
        <x:f>IF(D49="A",5,0)</x:f>
        <x:v>0</x:v>
      </x:c>
    </x:row>
    <x:row r="50" ht="30" customHeight="1">
      <x:c r="A50" s="11" t="n">
        <x:f>RANK.EQ(G50,$G$2:$G$523,0)</x:f>
        <x:v>49</x:v>
      </x:c>
      <x:c r="B50" s="7" t="str">
        <x:v>HN-004</x:v>
      </x:c>
      <x:c r="C50" s="7" t="str">
        <x:v>HN</x:v>
      </x:c>
      <x:c r="D50" s="7" t="str">
        <x:v>A</x:v>
      </x:c>
      <x:c r="E50" s="8" t="str">
        <x:v>张丹诚</x:v>
      </x:c>
      <x:c r="F50" s="10" t="str">
        <x:v>长沙市长郡中学</x:v>
      </x:c>
      <x:c r="G50" s="12" t="n">
        <x:f>SUM(H50:J50)+K50</x:f>
        <x:v>572</x:v>
      </x:c>
      <x:c r="H50" s="12" t="n">
        <x:v>100</x:v>
      </x:c>
      <x:c r="I50" s="12" t="n">
        <x:v>271</x:v>
      </x:c>
      <x:c r="J50" s="12" t="n">
        <x:v>196</x:v>
      </x:c>
      <x:c r="K50" s="12" t="n">
        <x:f>IF(D50="A",5,0)</x:f>
        <x:v>5</x:v>
      </x:c>
    </x:row>
    <x:row r="51" ht="30" customHeight="1">
      <x:c r="A51" s="11" t="n">
        <x:f>RANK.EQ(G51,$G$2:$G$523,0)</x:f>
        <x:v>50</x:v>
      </x:c>
      <x:c r="B51" s="7" t="str">
        <x:v>CQ-004</x:v>
      </x:c>
      <x:c r="C51" s="7" t="str">
        <x:v>CQ</x:v>
      </x:c>
      <x:c r="D51" s="7" t="str">
        <x:v>A</x:v>
      </x:c>
      <x:c r="E51" s="8" t="str">
        <x:v>李知检</x:v>
      </x:c>
      <x:c r="F51" s="10" t="str">
        <x:v>重庆市巴蜀中学校</x:v>
      </x:c>
      <x:c r="G51" s="12" t="n">
        <x:f>SUM(H51:J51)+K51</x:f>
        <x:v>570</x:v>
      </x:c>
      <x:c r="H51" s="12" t="n">
        <x:v>100</x:v>
      </x:c>
      <x:c r="I51" s="12" t="n">
        <x:v>281</x:v>
      </x:c>
      <x:c r="J51" s="12" t="n">
        <x:v>184</x:v>
      </x:c>
      <x:c r="K51" s="12" t="n">
        <x:f>IF(D51="A",5,0)</x:f>
        <x:v>5</x:v>
      </x:c>
    </x:row>
    <x:row r="52" ht="30" customHeight="1">
      <x:c r="A52" s="11" t="n">
        <x:f>RANK.EQ(G52,$G$2:$G$523,0)</x:f>
        <x:v>51</x:v>
      </x:c>
      <x:c r="B52" s="7" t="str">
        <x:v>ZJ-013</x:v>
      </x:c>
      <x:c r="C52" s="7" t="str">
        <x:v>ZJ</x:v>
      </x:c>
      <x:c r="D52" s="7" t="str">
        <x:v>B</x:v>
      </x:c>
      <x:c r="E52" s="8" t="str">
        <x:v>沈易楠</x:v>
      </x:c>
      <x:c r="F52" s="10" t="str">
        <x:v>浙江省萧山中学</x:v>
      </x:c>
      <x:c r="G52" s="12" t="n">
        <x:f>SUM(H52:J52)+K52</x:f>
        <x:v>566</x:v>
      </x:c>
      <x:c r="H52" s="12" t="n">
        <x:v>100</x:v>
      </x:c>
      <x:c r="I52" s="12" t="n">
        <x:v>294</x:v>
      </x:c>
      <x:c r="J52" s="12" t="n">
        <x:v>172</x:v>
      </x:c>
      <x:c r="K52" s="12" t="n">
        <x:f>IF(D52="A",5,0)</x:f>
        <x:v>0</x:v>
      </x:c>
    </x:row>
    <x:row r="53" ht="30" customHeight="1">
      <x:c r="A53" s="11" t="n">
        <x:f>RANK.EQ(G53,$G$2:$G$523,0)</x:f>
        <x:v>52</x:v>
      </x:c>
      <x:c r="B53" s="7" t="str">
        <x:v>GD-016</x:v>
      </x:c>
      <x:c r="C53" s="7" t="str">
        <x:v>GD</x:v>
      </x:c>
      <x:c r="D53" s="7" t="str">
        <x:v>B</x:v>
      </x:c>
      <x:c r="E53" s="8" t="str">
        <x:v>练思远</x:v>
      </x:c>
      <x:c r="F53" s="10" t="str">
        <x:v>广州市第六中学</x:v>
      </x:c>
      <x:c r="G53" s="12" t="n">
        <x:f>SUM(H53:J53)+K53</x:f>
        <x:v>565</x:v>
      </x:c>
      <x:c r="H53" s="12" t="n">
        <x:v>100</x:v>
      </x:c>
      <x:c r="I53" s="12" t="n">
        <x:v>257</x:v>
      </x:c>
      <x:c r="J53" s="12" t="n">
        <x:v>208</x:v>
      </x:c>
      <x:c r="K53" s="12" t="n">
        <x:f>IF(D53="A",5,0)</x:f>
        <x:v>0</x:v>
      </x:c>
    </x:row>
    <x:row r="54" ht="30" customHeight="1">
      <x:c r="A54" s="11" t="n">
        <x:f>RANK.EQ(G54,$G$2:$G$523,0)</x:f>
        <x:v>53</x:v>
      </x:c>
      <x:c r="B54" s="7" t="str">
        <x:v>GD-008</x:v>
      </x:c>
      <x:c r="C54" s="7" t="str">
        <x:v>GD</x:v>
      </x:c>
      <x:c r="D54" s="7" t="str">
        <x:v>B</x:v>
      </x:c>
      <x:c r="E54" s="8" t="str">
        <x:v>李昱嘉</x:v>
      </x:c>
      <x:c r="F54" s="10" t="str">
        <x:v>广东实验中学</x:v>
      </x:c>
      <x:c r="G54" s="12" t="n">
        <x:f>SUM(H54:J54)+K54</x:f>
        <x:v>563</x:v>
      </x:c>
      <x:c r="H54" s="12" t="n">
        <x:v>100</x:v>
      </x:c>
      <x:c r="I54" s="12" t="n">
        <x:v>255</x:v>
      </x:c>
      <x:c r="J54" s="12" t="n">
        <x:v>208</x:v>
      </x:c>
      <x:c r="K54" s="12" t="n">
        <x:f>IF(D54="A",5,0)</x:f>
        <x:v>0</x:v>
      </x:c>
    </x:row>
    <x:row r="55" ht="30" customHeight="1">
      <x:c r="A55" s="11" t="n">
        <x:f>RANK.EQ(G55,$G$2:$G$523,0)</x:f>
        <x:v>54</x:v>
      </x:c>
      <x:c r="B55" s="7" t="str">
        <x:v>OI-003</x:v>
      </x:c>
      <x:c r="C55" s="7" t="str">
        <x:v>OI</x:v>
      </x:c>
      <x:c r="D55" s="7" t="str">
        <x:v>IOI</x:v>
      </x:c>
      <x:c r="E55" s="8" t="str">
        <x:v>何宇翔</x:v>
      </x:c>
      <x:c r="F55" s="10" t="str">
        <x:v>重庆南开（融侨）中学校</x:v>
      </x:c>
      <x:c r="G55" s="12" t="n">
        <x:f>SUM(H55:J55)+K55</x:f>
        <x:v>562</x:v>
      </x:c>
      <x:c r="H55" s="12" t="n">
        <x:v>96</x:v>
      </x:c>
      <x:c r="I55" s="12" t="n">
        <x:v>230</x:v>
      </x:c>
      <x:c r="J55" s="12" t="n">
        <x:v>236</x:v>
      </x:c>
      <x:c r="K55" s="12" t="n">
        <x:f>IF(D55="A",5,0)</x:f>
        <x:v>0</x:v>
      </x:c>
    </x:row>
    <x:row r="56" ht="30" customHeight="1">
      <x:c r="A56" s="11" t="n">
        <x:f>RANK.EQ(G56,$G$2:$G$523,0)</x:f>
        <x:v>55</x:v>
      </x:c>
      <x:c r="B56" s="7" t="str">
        <x:v>SD-009</x:v>
      </x:c>
      <x:c r="C56" s="7" t="str">
        <x:v>SD</x:v>
      </x:c>
      <x:c r="D56" s="7" t="str">
        <x:v>B</x:v>
      </x:c>
      <x:c r="E56" s="8" t="str">
        <x:v>李佳蔚</x:v>
      </x:c>
      <x:c r="F56" s="10" t="str">
        <x:v>东营市胜利第一中学</x:v>
      </x:c>
      <x:c r="G56" s="12" t="n">
        <x:f>SUM(H56:J56)+K56</x:f>
        <x:v>560</x:v>
      </x:c>
      <x:c r="H56" s="12" t="n">
        <x:v>100</x:v>
      </x:c>
      <x:c r="I56" s="12" t="n">
        <x:v>264</x:v>
      </x:c>
      <x:c r="J56" s="12" t="n">
        <x:v>196</x:v>
      </x:c>
      <x:c r="K56" s="12" t="n">
        <x:f>IF(D56="A",5,0)</x:f>
        <x:v>0</x:v>
      </x:c>
    </x:row>
    <x:row r="57" ht="30" customHeight="1">
      <x:c r="A57" s="11" t="n">
        <x:f>RANK.EQ(G57,$G$2:$G$523,0)</x:f>
        <x:v>55</x:v>
      </x:c>
      <x:c r="B57" s="7" t="str">
        <x:v>SH-012</x:v>
      </x:c>
      <x:c r="C57" s="7" t="str">
        <x:v>SH</x:v>
      </x:c>
      <x:c r="D57" s="7" t="str">
        <x:v>B</x:v>
      </x:c>
      <x:c r="E57" s="8" t="str">
        <x:v>沈熙晨</x:v>
      </x:c>
      <x:c r="F57" s="10" t="str">
        <x:v>复旦大学附属中学徐汇分校</x:v>
      </x:c>
      <x:c r="G57" s="12" t="n">
        <x:f>SUM(H57:J57)+K57</x:f>
        <x:v>560</x:v>
      </x:c>
      <x:c r="H57" s="12" t="n">
        <x:v>100</x:v>
      </x:c>
      <x:c r="I57" s="12" t="n">
        <x:v>260</x:v>
      </x:c>
      <x:c r="J57" s="12" t="n">
        <x:v>200</x:v>
      </x:c>
      <x:c r="K57" s="12" t="n">
        <x:f>IF(D57="A",5,0)</x:f>
        <x:v>0</x:v>
      </x:c>
    </x:row>
    <x:row r="58" ht="30" customHeight="1">
      <x:c r="A58" s="11" t="n">
        <x:f>RANK.EQ(G58,$G$2:$G$523,0)</x:f>
        <x:v>57</x:v>
      </x:c>
      <x:c r="B58" s="7" t="str">
        <x:v>HB-004</x:v>
      </x:c>
      <x:c r="C58" s="7" t="str">
        <x:v>HB</x:v>
      </x:c>
      <x:c r="D58" s="7" t="str">
        <x:v>A</x:v>
      </x:c>
      <x:c r="E58" s="8" t="str">
        <x:v>刘珈逸</x:v>
      </x:c>
      <x:c r="F58" s="10" t="str">
        <x:v>武汉新城实验高级中学</x:v>
      </x:c>
      <x:c r="G58" s="12" t="n">
        <x:f>SUM(H58:J58)+K58</x:f>
        <x:v>558</x:v>
      </x:c>
      <x:c r="H58" s="12" t="n">
        <x:v>100</x:v>
      </x:c>
      <x:c r="I58" s="12" t="n">
        <x:v>225</x:v>
      </x:c>
      <x:c r="J58" s="12" t="n">
        <x:v>228</x:v>
      </x:c>
      <x:c r="K58" s="12" t="n">
        <x:f>IF(D58="A",5,0)</x:f>
        <x:v>5</x:v>
      </x:c>
    </x:row>
    <x:row r="59" ht="30" customHeight="1">
      <x:c r="A59" s="11" t="n">
        <x:f>RANK.EQ(G59,$G$2:$G$523,0)</x:f>
        <x:v>57</x:v>
      </x:c>
      <x:c r="B59" s="7" t="str">
        <x:v>ZJ-037</x:v>
      </x:c>
      <x:c r="C59" s="7" t="str">
        <x:v>ZJ</x:v>
      </x:c>
      <x:c r="D59" s="7" t="str">
        <x:v>D</x:v>
      </x:c>
      <x:c r="E59" s="8" t="str">
        <x:v>徐崇瑜</x:v>
      </x:c>
      <x:c r="F59" s="10" t="str">
        <x:v>浙江金华第一中学</x:v>
      </x:c>
      <x:c r="G59" s="12" t="n">
        <x:f>SUM(H59:J59)+K59</x:f>
        <x:v>558</x:v>
      </x:c>
      <x:c r="H59" s="12" t="n">
        <x:v>99</x:v>
      </x:c>
      <x:c r="I59" s="12" t="n">
        <x:v>295</x:v>
      </x:c>
      <x:c r="J59" s="12" t="n">
        <x:v>164</x:v>
      </x:c>
      <x:c r="K59" s="12" t="n">
        <x:f>IF(D59="A",5,0)</x:f>
        <x:v>0</x:v>
      </x:c>
    </x:row>
    <x:row r="60" ht="30" customHeight="1">
      <x:c r="A60" s="11" t="n">
        <x:f>RANK.EQ(G60,$G$2:$G$523,0)</x:f>
        <x:v>59</x:v>
      </x:c>
      <x:c r="B60" s="7" t="str">
        <x:v>HK-001</x:v>
      </x:c>
      <x:c r="C60" s="7" t="str">
        <x:v>HK</x:v>
      </x:c>
      <x:c r="D60" s="7" t="str">
        <x:v>A</x:v>
      </x:c>
      <x:c r="E60" s="8" t="str">
        <x:v>許峻齊</x:v>
      </x:c>
      <x:c r="F60" s="10" t="str">
        <x:v>九龍華仁書院</x:v>
      </x:c>
      <x:c r="G60" s="12" t="n">
        <x:f>SUM(H60:J60)+K60</x:f>
        <x:v>557</x:v>
      </x:c>
      <x:c r="H60" s="12" t="n">
        <x:v>99</x:v>
      </x:c>
      <x:c r="I60" s="12" t="n">
        <x:v>253</x:v>
      </x:c>
      <x:c r="J60" s="12" t="n">
        <x:v>200</x:v>
      </x:c>
      <x:c r="K60" s="12" t="n">
        <x:f>IF(D60="A",5,0)</x:f>
        <x:v>5</x:v>
      </x:c>
    </x:row>
    <x:row r="61" ht="30" customHeight="1">
      <x:c r="A61" s="11" t="n">
        <x:f>RANK.EQ(G61,$G$2:$G$523,0)</x:f>
        <x:v>59</x:v>
      </x:c>
      <x:c r="B61" s="7" t="str">
        <x:v>SN-016</x:v>
      </x:c>
      <x:c r="C61" s="7" t="str">
        <x:v>SN</x:v>
      </x:c>
      <x:c r="D61" s="7" t="str">
        <x:v>E</x:v>
      </x:c>
      <x:c r="E61" s="8" t="str">
        <x:v>吕明栩</x:v>
      </x:c>
      <x:c r="F61" s="10" t="str">
        <x:v>西安高新区第三初级中学</x:v>
      </x:c>
      <x:c r="G61" s="12" t="n">
        <x:f>SUM(H61:J61)+K61</x:f>
        <x:v>557</x:v>
      </x:c>
      <x:c r="H61" s="12" t="n">
        <x:v>100</x:v>
      </x:c>
      <x:c r="I61" s="12" t="n">
        <x:v>257</x:v>
      </x:c>
      <x:c r="J61" s="12" t="n">
        <x:v>200</x:v>
      </x:c>
      <x:c r="K61" s="12" t="n">
        <x:f>IF(D61="A",5,0)</x:f>
        <x:v>0</x:v>
      </x:c>
    </x:row>
    <x:row r="62" ht="30" customHeight="1">
      <x:c r="A62" s="11" t="n">
        <x:f>RANK.EQ(G62,$G$2:$G$523,0)</x:f>
        <x:v>59</x:v>
      </x:c>
      <x:c r="B62" s="7" t="str">
        <x:v>ZJ-001</x:v>
      </x:c>
      <x:c r="C62" s="7" t="str">
        <x:v>ZJ</x:v>
      </x:c>
      <x:c r="D62" s="7" t="str">
        <x:v>A</x:v>
      </x:c>
      <x:c r="E62" s="8" t="str">
        <x:v>陈奕帆</x:v>
      </x:c>
      <x:c r="F62" s="10" t="str">
        <x:v>绍兴市第一中学</x:v>
      </x:c>
      <x:c r="G62" s="12" t="n">
        <x:f>SUM(H62:J62)+K62</x:f>
        <x:v>557</x:v>
      </x:c>
      <x:c r="H62" s="12" t="n">
        <x:v>100</x:v>
      </x:c>
      <x:c r="I62" s="12" t="n">
        <x:v>228</x:v>
      </x:c>
      <x:c r="J62" s="12" t="n">
        <x:v>224</x:v>
      </x:c>
      <x:c r="K62" s="12" t="n">
        <x:f>IF(D62="A",5,0)</x:f>
        <x:v>5</x:v>
      </x:c>
    </x:row>
    <x:row r="63" ht="30" customHeight="1">
      <x:c r="A63" s="11" t="n">
        <x:f>RANK.EQ(G63,$G$2:$G$523,0)</x:f>
        <x:v>62</x:v>
      </x:c>
      <x:c r="B63" s="7" t="str">
        <x:v>BJ-015</x:v>
      </x:c>
      <x:c r="C63" s="7" t="str">
        <x:v>BJ</x:v>
      </x:c>
      <x:c r="D63" s="7" t="str">
        <x:v>B</x:v>
      </x:c>
      <x:c r="E63" s="8" t="str">
        <x:v>贾鹏博</x:v>
      </x:c>
      <x:c r="F63" s="10" t="str">
        <x:v>北京亦庄实验中学</x:v>
      </x:c>
      <x:c r="G63" s="12" t="n">
        <x:f>SUM(H63:J63)+K63</x:f>
        <x:v>556</x:v>
      </x:c>
      <x:c r="H63" s="12" t="n">
        <x:v>100</x:v>
      </x:c>
      <x:c r="I63" s="12" t="n">
        <x:v>244</x:v>
      </x:c>
      <x:c r="J63" s="12" t="n">
        <x:v>212</x:v>
      </x:c>
      <x:c r="K63" s="12" t="n">
        <x:f>IF(D63="A",5,0)</x:f>
        <x:v>0</x:v>
      </x:c>
    </x:row>
    <x:row r="64" ht="30" customHeight="1">
      <x:c r="A64" s="11" t="n">
        <x:f>RANK.EQ(G64,$G$2:$G$523,0)</x:f>
        <x:v>62</x:v>
      </x:c>
      <x:c r="B64" s="7" t="str">
        <x:v>SH-015</x:v>
      </x:c>
      <x:c r="C64" s="7" t="str">
        <x:v>SH</x:v>
      </x:c>
      <x:c r="D64" s="7" t="str">
        <x:v>C</x:v>
      </x:c>
      <x:c r="E64" s="8" t="str">
        <x:v>程乐平</x:v>
      </x:c>
      <x:c r="F64" s="10" t="str">
        <x:v>华东师范大学第二附属中学</x:v>
      </x:c>
      <x:c r="G64" s="12" t="n">
        <x:f>SUM(H64:J64)+K64</x:f>
        <x:v>556</x:v>
      </x:c>
      <x:c r="H64" s="12" t="n">
        <x:v>100</x:v>
      </x:c>
      <x:c r="I64" s="12" t="n">
        <x:v>256</x:v>
      </x:c>
      <x:c r="J64" s="12" t="n">
        <x:v>200</x:v>
      </x:c>
      <x:c r="K64" s="12" t="n">
        <x:f>IF(D64="A",5,0)</x:f>
        <x:v>0</x:v>
      </x:c>
    </x:row>
    <x:row r="65" ht="30" customHeight="1">
      <x:c r="A65" s="11" t="n">
        <x:f>RANK.EQ(G65,$G$2:$G$523,0)</x:f>
        <x:v>62</x:v>
      </x:c>
      <x:c r="B65" s="7" t="str">
        <x:v>SH-017</x:v>
      </x:c>
      <x:c r="C65" s="7" t="str">
        <x:v>SH</x:v>
      </x:c>
      <x:c r="D65" s="7" t="str">
        <x:v>D</x:v>
      </x:c>
      <x:c r="E65" s="8" t="str">
        <x:v>冯光熙</x:v>
      </x:c>
      <x:c r="F65" s="10" t="str">
        <x:v>华东师范大学第二附属中学</x:v>
      </x:c>
      <x:c r="G65" s="12" t="n">
        <x:f>SUM(H65:J65)+K65</x:f>
        <x:v>556</x:v>
      </x:c>
      <x:c r="H65" s="12" t="n">
        <x:v>100</x:v>
      </x:c>
      <x:c r="I65" s="12" t="n">
        <x:v>248</x:v>
      </x:c>
      <x:c r="J65" s="12" t="n">
        <x:v>208</x:v>
      </x:c>
      <x:c r="K65" s="12" t="n">
        <x:f>IF(D65="A",5,0)</x:f>
        <x:v>0</x:v>
      </x:c>
    </x:row>
    <x:row r="66" ht="30" customHeight="1">
      <x:c r="A66" s="11" t="n">
        <x:f>RANK.EQ(G66,$G$2:$G$523,0)</x:f>
        <x:v>65</x:v>
      </x:c>
      <x:c r="B66" s="7" t="str">
        <x:v>GD-017</x:v>
      </x:c>
      <x:c r="C66" s="7" t="str">
        <x:v>GD</x:v>
      </x:c>
      <x:c r="D66" s="7" t="str">
        <x:v>B</x:v>
      </x:c>
      <x:c r="E66" s="8" t="str">
        <x:v>李子优</x:v>
      </x:c>
      <x:c r="F66" s="10" t="str">
        <x:v>深圳中学</x:v>
      </x:c>
      <x:c r="G66" s="12" t="n">
        <x:f>SUM(H66:J66)+K66</x:f>
        <x:v>553</x:v>
      </x:c>
      <x:c r="H66" s="12" t="n">
        <x:v>100</x:v>
      </x:c>
      <x:c r="I66" s="12" t="n">
        <x:v>213</x:v>
      </x:c>
      <x:c r="J66" s="12" t="n">
        <x:v>240</x:v>
      </x:c>
      <x:c r="K66" s="12" t="n">
        <x:f>IF(D66="A",5,0)</x:f>
        <x:v>0</x:v>
      </x:c>
    </x:row>
    <x:row r="67" ht="30" customHeight="1">
      <x:c r="A67" s="11" t="n">
        <x:f>RANK.EQ(G67,$G$2:$G$523,0)</x:f>
        <x:v>66</x:v>
      </x:c>
      <x:c r="B67" s="7" t="str">
        <x:v>AH-001</x:v>
      </x:c>
      <x:c r="C67" s="7" t="str">
        <x:v>AH</x:v>
      </x:c>
      <x:c r="D67" s="7" t="str">
        <x:v>A</x:v>
      </x:c>
      <x:c r="E67" s="8" t="str">
        <x:v>黄乐逸</x:v>
      </x:c>
      <x:c r="F67" s="10" t="str">
        <x:v>合肥一六八中学</x:v>
      </x:c>
      <x:c r="G67" s="12" t="n">
        <x:f>SUM(H67:J67)+K67</x:f>
        <x:v>552</x:v>
      </x:c>
      <x:c r="H67" s="12" t="n">
        <x:v>100</x:v>
      </x:c>
      <x:c r="I67" s="12" t="n">
        <x:v>239</x:v>
      </x:c>
      <x:c r="J67" s="12" t="n">
        <x:v>208</x:v>
      </x:c>
      <x:c r="K67" s="12" t="n">
        <x:f>IF(D67="A",5,0)</x:f>
        <x:v>5</x:v>
      </x:c>
    </x:row>
    <x:row r="68" ht="30" customHeight="1">
      <x:c r="A68" s="11" t="n">
        <x:f>RANK.EQ(G68,$G$2:$G$523,0)</x:f>
        <x:v>67</x:v>
      </x:c>
      <x:c r="B68" s="7" t="str">
        <x:v>GD-032</x:v>
      </x:c>
      <x:c r="C68" s="7" t="str">
        <x:v>GD</x:v>
      </x:c>
      <x:c r="D68" s="7" t="str">
        <x:v>D</x:v>
      </x:c>
      <x:c r="E68" s="8" t="str">
        <x:v>韦锦成</x:v>
      </x:c>
      <x:c r="F68" s="10" t="str">
        <x:v>深圳中学</x:v>
      </x:c>
      <x:c r="G68" s="12" t="n">
        <x:f>SUM(H68:J68)+K68</x:f>
        <x:v>551</x:v>
      </x:c>
      <x:c r="H68" s="12" t="n">
        <x:v>100</x:v>
      </x:c>
      <x:c r="I68" s="12" t="n">
        <x:v>243</x:v>
      </x:c>
      <x:c r="J68" s="12" t="n">
        <x:v>208</x:v>
      </x:c>
      <x:c r="K68" s="12" t="n">
        <x:f>IF(D68="A",5,0)</x:f>
        <x:v>0</x:v>
      </x:c>
    </x:row>
    <x:row r="69" ht="30" customHeight="1">
      <x:c r="A69" s="11" t="n">
        <x:f>RANK.EQ(G69,$G$2:$G$523,0)</x:f>
        <x:v>67</x:v>
      </x:c>
      <x:c r="B69" s="7" t="str">
        <x:v>SH-002</x:v>
      </x:c>
      <x:c r="C69" s="7" t="str">
        <x:v>SH</x:v>
      </x:c>
      <x:c r="D69" s="7" t="str">
        <x:v>A</x:v>
      </x:c>
      <x:c r="E69" s="8" t="str">
        <x:v>李昊宸</x:v>
      </x:c>
      <x:c r="F69" s="10" t="str">
        <x:v>上海外国语大学附属外国语学校</x:v>
      </x:c>
      <x:c r="G69" s="12" t="n">
        <x:f>SUM(H69:J69)+K69</x:f>
        <x:v>551</x:v>
      </x:c>
      <x:c r="H69" s="12" t="n">
        <x:v>100</x:v>
      </x:c>
      <x:c r="I69" s="12" t="n">
        <x:v>223</x:v>
      </x:c>
      <x:c r="J69" s="12" t="n">
        <x:v>223</x:v>
      </x:c>
      <x:c r="K69" s="12" t="n">
        <x:f>IF(D69="A",5,0)</x:f>
        <x:v>5</x:v>
      </x:c>
    </x:row>
    <x:row r="70" ht="30" customHeight="1">
      <x:c r="A70" s="11" t="n">
        <x:f>RANK.EQ(G70,$G$2:$G$523,0)</x:f>
        <x:v>69</x:v>
      </x:c>
      <x:c r="B70" s="7" t="str">
        <x:v>CQ-006</x:v>
      </x:c>
      <x:c r="C70" s="7" t="str">
        <x:v>CQ</x:v>
      </x:c>
      <x:c r="D70" s="7" t="str">
        <x:v>B</x:v>
      </x:c>
      <x:c r="E70" s="8" t="str">
        <x:v>刘恒卓</x:v>
      </x:c>
      <x:c r="F70" s="10" t="str">
        <x:v>西南大学附属中学校</x:v>
      </x:c>
      <x:c r="G70" s="12" t="n">
        <x:f>SUM(H70:J70)+K70</x:f>
        <x:v>548</x:v>
      </x:c>
      <x:c r="H70" s="12" t="n">
        <x:v>100</x:v>
      </x:c>
      <x:c r="I70" s="12" t="n">
        <x:v>216</x:v>
      </x:c>
      <x:c r="J70" s="12" t="n">
        <x:v>232</x:v>
      </x:c>
      <x:c r="K70" s="12" t="n">
        <x:f>IF(D70="A",5,0)</x:f>
        <x:v>0</x:v>
      </x:c>
    </x:row>
    <x:row r="71" ht="30" customHeight="1">
      <x:c r="A71" s="11" t="n">
        <x:f>RANK.EQ(G71,$G$2:$G$523,0)</x:f>
        <x:v>70</x:v>
      </x:c>
      <x:c r="B71" s="7" t="str">
        <x:v>FJ-001</x:v>
      </x:c>
      <x:c r="C71" s="7" t="str">
        <x:v>FJ</x:v>
      </x:c>
      <x:c r="D71" s="7" t="str">
        <x:v>A</x:v>
      </x:c>
      <x:c r="E71" s="8" t="str">
        <x:v>林祺昊</x:v>
      </x:c>
      <x:c r="F71" s="10" t="str">
        <x:v>福建师范大学附属中学</x:v>
      </x:c>
      <x:c r="G71" s="12" t="n">
        <x:f>SUM(H71:J71)+K71</x:f>
        <x:v>546</x:v>
      </x:c>
      <x:c r="H71" s="12" t="n">
        <x:v>100</x:v>
      </x:c>
      <x:c r="I71" s="12" t="n">
        <x:v>234</x:v>
      </x:c>
      <x:c r="J71" s="12" t="n">
        <x:v>207</x:v>
      </x:c>
      <x:c r="K71" s="12" t="n">
        <x:f>IF(D71="A",5,0)</x:f>
        <x:v>5</x:v>
      </x:c>
    </x:row>
    <x:row r="72" ht="30" customHeight="1">
      <x:c r="A72" s="11" t="n">
        <x:f>RANK.EQ(G72,$G$2:$G$523,0)</x:f>
        <x:v>71</x:v>
      </x:c>
      <x:c r="B72" s="7" t="str">
        <x:v>GD-012</x:v>
      </x:c>
      <x:c r="C72" s="7" t="str">
        <x:v>GD</x:v>
      </x:c>
      <x:c r="D72" s="7" t="str">
        <x:v>B</x:v>
      </x:c>
      <x:c r="E72" s="8" t="str">
        <x:v>胡金勇</x:v>
      </x:c>
      <x:c r="F72" s="10" t="str">
        <x:v>中山市中山纪念中学</x:v>
      </x:c>
      <x:c r="G72" s="12" t="n">
        <x:f>SUM(H72:J72)+K72</x:f>
        <x:v>545</x:v>
      </x:c>
      <x:c r="H72" s="12" t="n">
        <x:v>100</x:v>
      </x:c>
      <x:c r="I72" s="12" t="n">
        <x:v>217</x:v>
      </x:c>
      <x:c r="J72" s="12" t="n">
        <x:v>228</x:v>
      </x:c>
      <x:c r="K72" s="12" t="n">
        <x:f>IF(D72="A",5,0)</x:f>
        <x:v>0</x:v>
      </x:c>
    </x:row>
    <x:row r="73" ht="30" customHeight="1">
      <x:c r="A73" s="11" t="n">
        <x:f>RANK.EQ(G73,$G$2:$G$523,0)</x:f>
        <x:v>71</x:v>
      </x:c>
      <x:c r="B73" s="7" t="str">
        <x:v>JS-013</x:v>
      </x:c>
      <x:c r="C73" s="7" t="str">
        <x:v>JS</x:v>
      </x:c>
      <x:c r="D73" s="7" t="str">
        <x:v>B</x:v>
      </x:c>
      <x:c r="E73" s="8" t="str">
        <x:v>程元郢</x:v>
      </x:c>
      <x:c r="F73" s="10" t="str">
        <x:v>南京外国语学校</x:v>
      </x:c>
      <x:c r="G73" s="12" t="n">
        <x:f>SUM(H73:J73)+K73</x:f>
        <x:v>545</x:v>
      </x:c>
      <x:c r="H73" s="12" t="n">
        <x:v>100</x:v>
      </x:c>
      <x:c r="I73" s="12" t="n">
        <x:v>237</x:v>
      </x:c>
      <x:c r="J73" s="12" t="n">
        <x:v>208</x:v>
      </x:c>
      <x:c r="K73" s="12" t="n">
        <x:f>IF(D73="A",5,0)</x:f>
        <x:v>0</x:v>
      </x:c>
    </x:row>
    <x:row r="74" ht="30" customHeight="1">
      <x:c r="A74" s="11" t="n">
        <x:f>RANK.EQ(G74,$G$2:$G$523,0)</x:f>
        <x:v>73</x:v>
      </x:c>
      <x:c r="B74" s="7" t="str">
        <x:v>FJ-017</x:v>
      </x:c>
      <x:c r="C74" s="7" t="str">
        <x:v>FJ</x:v>
      </x:c>
      <x:c r="D74" s="7" t="str">
        <x:v>D</x:v>
      </x:c>
      <x:c r="E74" s="8" t="str">
        <x:v>叶沐哲</x:v>
      </x:c>
      <x:c r="F74" s="10" t="str">
        <x:v>福建省厦门双十中学</x:v>
      </x:c>
      <x:c r="G74" s="12" t="n">
        <x:f>SUM(H74:J74)+K74</x:f>
        <x:v>544</x:v>
      </x:c>
      <x:c r="H74" s="12" t="n">
        <x:v>100</x:v>
      </x:c>
      <x:c r="I74" s="12" t="n">
        <x:v>244</x:v>
      </x:c>
      <x:c r="J74" s="12" t="n">
        <x:v>200</x:v>
      </x:c>
      <x:c r="K74" s="12" t="n">
        <x:f>IF(D74="A",5,0)</x:f>
        <x:v>0</x:v>
      </x:c>
    </x:row>
    <x:row r="75" ht="30" customHeight="1">
      <x:c r="A75" s="11" t="n">
        <x:f>RANK.EQ(G75,$G$2:$G$523,0)</x:f>
        <x:v>73</x:v>
      </x:c>
      <x:c r="B75" s="7" t="str">
        <x:v>HE-001</x:v>
      </x:c>
      <x:c r="C75" s="7" t="str">
        <x:v>HE</x:v>
      </x:c>
      <x:c r="D75" s="7" t="str">
        <x:v>A</x:v>
      </x:c>
      <x:c r="E75" s="8" t="str">
        <x:v>崔铎曦</x:v>
      </x:c>
      <x:c r="F75" s="10" t="str">
        <x:v>石家庄市第二中学</x:v>
      </x:c>
      <x:c r="G75" s="12" t="n">
        <x:f>SUM(H75:J75)+K75</x:f>
        <x:v>544</x:v>
      </x:c>
      <x:c r="H75" s="12" t="n">
        <x:v>100</x:v>
      </x:c>
      <x:c r="I75" s="12" t="n">
        <x:v>239</x:v>
      </x:c>
      <x:c r="J75" s="12" t="n">
        <x:v>200</x:v>
      </x:c>
      <x:c r="K75" s="12" t="n">
        <x:f>IF(D75="A",5,0)</x:f>
        <x:v>5</x:v>
      </x:c>
    </x:row>
    <x:row r="76" ht="30" customHeight="1">
      <x:c r="A76" s="11" t="n">
        <x:f>RANK.EQ(G76,$G$2:$G$523,0)</x:f>
        <x:v>73</x:v>
      </x:c>
      <x:c r="B76" s="7" t="str">
        <x:v>LN-004</x:v>
      </x:c>
      <x:c r="C76" s="7" t="str">
        <x:v>LN</x:v>
      </x:c>
      <x:c r="D76" s="7" t="str">
        <x:v>A</x:v>
      </x:c>
      <x:c r="E76" s="8" t="str">
        <x:v>付琦睿</x:v>
      </x:c>
      <x:c r="F76" s="10" t="str">
        <x:v>大连市第二十四中学金普学校</x:v>
      </x:c>
      <x:c r="G76" s="12" t="n">
        <x:f>SUM(H76:J76)+K76</x:f>
        <x:v>544</x:v>
      </x:c>
      <x:c r="H76" s="12" t="n">
        <x:v>100</x:v>
      </x:c>
      <x:c r="I76" s="12" t="n">
        <x:v>231</x:v>
      </x:c>
      <x:c r="J76" s="12" t="n">
        <x:v>208</x:v>
      </x:c>
      <x:c r="K76" s="12" t="n">
        <x:f>IF(D76="A",5,0)</x:f>
        <x:v>5</x:v>
      </x:c>
    </x:row>
    <x:row r="77" ht="30" customHeight="1">
      <x:c r="A77" s="11" t="n">
        <x:f>RANK.EQ(G77,$G$2:$G$523,0)</x:f>
        <x:v>73</x:v>
      </x:c>
      <x:c r="B77" s="7" t="str">
        <x:v>SH-010</x:v>
      </x:c>
      <x:c r="C77" s="7" t="str">
        <x:v>SH</x:v>
      </x:c>
      <x:c r="D77" s="7" t="str">
        <x:v>B</x:v>
      </x:c>
      <x:c r="E77" s="8" t="str">
        <x:v>李烨霖</x:v>
      </x:c>
      <x:c r="F77" s="10" t="str">
        <x:v>上海市曹杨第二中学</x:v>
      </x:c>
      <x:c r="G77" s="12" t="n">
        <x:f>SUM(H77:J77)+K77</x:f>
        <x:v>544</x:v>
      </x:c>
      <x:c r="H77" s="12" t="n">
        <x:v>100</x:v>
      </x:c>
      <x:c r="I77" s="12" t="n">
        <x:v>216</x:v>
      </x:c>
      <x:c r="J77" s="12" t="n">
        <x:v>228</x:v>
      </x:c>
      <x:c r="K77" s="12" t="n">
        <x:f>IF(D77="A",5,0)</x:f>
        <x:v>0</x:v>
      </x:c>
    </x:row>
    <x:row r="78" ht="30" customHeight="1">
      <x:c r="A78" s="11" t="n">
        <x:f>RANK.EQ(G78,$G$2:$G$523,0)</x:f>
        <x:v>73</x:v>
      </x:c>
      <x:c r="B78" s="7" t="str">
        <x:v>ZJ-007</x:v>
      </x:c>
      <x:c r="C78" s="7" t="str">
        <x:v>ZJ</x:v>
      </x:c>
      <x:c r="D78" s="7" t="str">
        <x:v>B</x:v>
      </x:c>
      <x:c r="E78" s="8" t="str">
        <x:v>桂阳熠</x:v>
      </x:c>
      <x:c r="F78" s="10" t="str">
        <x:v>杭州第二中学</x:v>
      </x:c>
      <x:c r="G78" s="12" t="n">
        <x:f>SUM(H78:J78)+K78</x:f>
        <x:v>544</x:v>
      </x:c>
      <x:c r="H78" s="12" t="n">
        <x:v>100</x:v>
      </x:c>
      <x:c r="I78" s="12" t="n">
        <x:v>300</x:v>
      </x:c>
      <x:c r="J78" s="12" t="n">
        <x:v>144</x:v>
      </x:c>
      <x:c r="K78" s="12" t="n">
        <x:f>IF(D78="A",5,0)</x:f>
        <x:v>0</x:v>
      </x:c>
    </x:row>
    <x:row r="79" ht="30" customHeight="1">
      <x:c r="A79" s="11" t="n">
        <x:f>RANK.EQ(G79,$G$2:$G$523,0)</x:f>
        <x:v>78</x:v>
      </x:c>
      <x:c r="B79" s="7" t="str">
        <x:v>SH-013</x:v>
      </x:c>
      <x:c r="C79" s="7" t="str">
        <x:v>SH</x:v>
      </x:c>
      <x:c r="D79" s="7" t="str">
        <x:v>B</x:v>
      </x:c>
      <x:c r="E79" s="8" t="str">
        <x:v>吴金泽</x:v>
      </x:c>
      <x:c r="F79" s="10" t="str">
        <x:v>上海外国语大学附属外国语学校</x:v>
      </x:c>
      <x:c r="G79" s="12" t="n">
        <x:f>SUM(H79:J79)+K79</x:f>
        <x:v>542</x:v>
      </x:c>
      <x:c r="H79" s="12" t="n">
        <x:v>100</x:v>
      </x:c>
      <x:c r="I79" s="12" t="n">
        <x:v>234</x:v>
      </x:c>
      <x:c r="J79" s="12" t="n">
        <x:v>208</x:v>
      </x:c>
      <x:c r="K79" s="12" t="n">
        <x:f>IF(D79="A",5,0)</x:f>
        <x:v>0</x:v>
      </x:c>
    </x:row>
    <x:row r="80" ht="30" customHeight="1">
      <x:c r="A80" s="11" t="n">
        <x:f>RANK.EQ(G80,$G$2:$G$523,0)</x:f>
        <x:v>79</x:v>
      </x:c>
      <x:c r="B80" s="7" t="str">
        <x:v>CQ-003</x:v>
      </x:c>
      <x:c r="C80" s="7" t="str">
        <x:v>CQ</x:v>
      </x:c>
      <x:c r="D80" s="7" t="str">
        <x:v>A</x:v>
      </x:c>
      <x:c r="E80" s="8" t="str">
        <x:v>池昊轩</x:v>
      </x:c>
      <x:c r="F80" s="10" t="str">
        <x:v>重庆市南开中学校</x:v>
      </x:c>
      <x:c r="G80" s="12" t="n">
        <x:f>SUM(H80:J80)+K80</x:f>
        <x:v>541</x:v>
      </x:c>
      <x:c r="H80" s="12" t="n">
        <x:v>100</x:v>
      </x:c>
      <x:c r="I80" s="12" t="n">
        <x:v>244</x:v>
      </x:c>
      <x:c r="J80" s="12" t="n">
        <x:v>192</x:v>
      </x:c>
      <x:c r="K80" s="12" t="n">
        <x:f>IF(D80="A",5,0)</x:f>
        <x:v>5</x:v>
      </x:c>
    </x:row>
    <x:row r="81" ht="30" customHeight="1">
      <x:c r="A81" s="11" t="n">
        <x:f>RANK.EQ(G81,$G$2:$G$523,0)</x:f>
        <x:v>79</x:v>
      </x:c>
      <x:c r="B81" s="7" t="str">
        <x:v>FJ-002</x:v>
      </x:c>
      <x:c r="C81" s="7" t="str">
        <x:v>FJ</x:v>
      </x:c>
      <x:c r="D81" s="7" t="str">
        <x:v>A</x:v>
      </x:c>
      <x:c r="E81" s="8" t="str">
        <x:v>卢华睿</x:v>
      </x:c>
      <x:c r="F81" s="10" t="str">
        <x:v>福建省福州第一中学</x:v>
      </x:c>
      <x:c r="G81" s="12" t="n">
        <x:f>SUM(H81:J81)+K81</x:f>
        <x:v>541</x:v>
      </x:c>
      <x:c r="H81" s="12" t="n">
        <x:v>100</x:v>
      </x:c>
      <x:c r="I81" s="12" t="n">
        <x:v>300</x:v>
      </x:c>
      <x:c r="J81" s="12" t="n">
        <x:v>136</x:v>
      </x:c>
      <x:c r="K81" s="12" t="n">
        <x:f>IF(D81="A",5,0)</x:f>
        <x:v>5</x:v>
      </x:c>
    </x:row>
    <x:row r="82" ht="30" customHeight="1">
      <x:c r="A82" s="11" t="n">
        <x:f>RANK.EQ(G82,$G$2:$G$523,0)</x:f>
        <x:v>81</x:v>
      </x:c>
      <x:c r="B82" s="7" t="str">
        <x:v>JS-029</x:v>
      </x:c>
      <x:c r="C82" s="7" t="str">
        <x:v>JS</x:v>
      </x:c>
      <x:c r="D82" s="7" t="str">
        <x:v>E</x:v>
      </x:c>
      <x:c r="E82" s="8" t="str">
        <x:v>吴宇翔</x:v>
      </x:c>
      <x:c r="F82" s="10" t="str">
        <x:v>南京市金陵河西学校</x:v>
      </x:c>
      <x:c r="G82" s="12" t="n">
        <x:f>SUM(H82:J82)+K82</x:f>
        <x:v>539</x:v>
      </x:c>
      <x:c r="H82" s="12" t="n">
        <x:v>98</x:v>
      </x:c>
      <x:c r="I82" s="12" t="n">
        <x:v>221</x:v>
      </x:c>
      <x:c r="J82" s="12" t="n">
        <x:v>220</x:v>
      </x:c>
      <x:c r="K82" s="12" t="n">
        <x:f>IF(D82="A",5,0)</x:f>
        <x:v>0</x:v>
      </x:c>
    </x:row>
    <x:row r="83" ht="30" customHeight="1">
      <x:c r="A83" s="11" t="n">
        <x:f>RANK.EQ(G83,$G$2:$G$523,0)</x:f>
        <x:v>81</x:v>
      </x:c>
      <x:c r="B83" s="7" t="str">
        <x:v>ZJ-036</x:v>
      </x:c>
      <x:c r="C83" s="7" t="str">
        <x:v>ZJ</x:v>
      </x:c>
      <x:c r="D83" s="7" t="str">
        <x:v>D</x:v>
      </x:c>
      <x:c r="E83" s="8" t="str">
        <x:v>夏扬</x:v>
      </x:c>
      <x:c r="F83" s="10" t="str">
        <x:v>宁波市镇海蛟川书院</x:v>
      </x:c>
      <x:c r="G83" s="12" t="n">
        <x:f>SUM(H83:J83)+K83</x:f>
        <x:v>539</x:v>
      </x:c>
      <x:c r="H83" s="12" t="n">
        <x:v>100</x:v>
      </x:c>
      <x:c r="I83" s="12" t="n">
        <x:v>231</x:v>
      </x:c>
      <x:c r="J83" s="12" t="n">
        <x:v>208</x:v>
      </x:c>
      <x:c r="K83" s="12" t="n">
        <x:f>IF(D83="A",5,0)</x:f>
        <x:v>0</x:v>
      </x:c>
    </x:row>
    <x:row r="84" ht="30" customHeight="1">
      <x:c r="A84" s="11" t="n">
        <x:f>RANK.EQ(G84,$G$2:$G$523,0)</x:f>
        <x:v>83</x:v>
      </x:c>
      <x:c r="B84" s="7" t="str">
        <x:v>BJ-003</x:v>
      </x:c>
      <x:c r="C84" s="7" t="str">
        <x:v>BJ</x:v>
      </x:c>
      <x:c r="D84" s="7" t="str">
        <x:v>A</x:v>
      </x:c>
      <x:c r="E84" s="8" t="str">
        <x:v>彭亦宸</x:v>
      </x:c>
      <x:c r="F84" s="10" t="str">
        <x:v>中国人民大学附属中学</x:v>
      </x:c>
      <x:c r="G84" s="12" t="n">
        <x:f>SUM(H84:J84)+K84</x:f>
        <x:v>537</x:v>
      </x:c>
      <x:c r="H84" s="12" t="n">
        <x:v>100</x:v>
      </x:c>
      <x:c r="I84" s="12" t="n">
        <x:v>224</x:v>
      </x:c>
      <x:c r="J84" s="12" t="n">
        <x:v>208</x:v>
      </x:c>
      <x:c r="K84" s="12" t="n">
        <x:f>IF(D84="A",5,0)</x:f>
        <x:v>5</x:v>
      </x:c>
    </x:row>
    <x:row r="85" ht="30" customHeight="1">
      <x:c r="A85" s="11" t="n">
        <x:f>RANK.EQ(G85,$G$2:$G$523,0)</x:f>
        <x:v>84</x:v>
      </x:c>
      <x:c r="B85" s="7" t="str">
        <x:v>HL-001</x:v>
      </x:c>
      <x:c r="C85" s="7" t="str">
        <x:v>HL</x:v>
      </x:c>
      <x:c r="D85" s="7" t="str">
        <x:v>A</x:v>
      </x:c>
      <x:c r="E85" s="8" t="str">
        <x:v>郭子阳</x:v>
      </x:c>
      <x:c r="F85" s="10" t="str">
        <x:v>哈尔滨德强高级中学</x:v>
      </x:c>
      <x:c r="G85" s="12" t="n">
        <x:f>SUM(H85:J85)+K85</x:f>
        <x:v>536</x:v>
      </x:c>
      <x:c r="H85" s="12" t="n">
        <x:v>100</x:v>
      </x:c>
      <x:c r="I85" s="12" t="n">
        <x:v>223</x:v>
      </x:c>
      <x:c r="J85" s="12" t="n">
        <x:v>208</x:v>
      </x:c>
      <x:c r="K85" s="12" t="n">
        <x:f>IF(D85="A",5,0)</x:f>
        <x:v>5</x:v>
      </x:c>
    </x:row>
    <x:row r="86" ht="30" customHeight="1">
      <x:c r="A86" s="11" t="n">
        <x:f>RANK.EQ(G86,$G$2:$G$523,0)</x:f>
        <x:v>84</x:v>
      </x:c>
      <x:c r="B86" s="7" t="str">
        <x:v>HN-013</x:v>
      </x:c>
      <x:c r="C86" s="7" t="str">
        <x:v>HN</x:v>
      </x:c>
      <x:c r="D86" s="7" t="str">
        <x:v>B</x:v>
      </x:c>
      <x:c r="E86" s="8" t="str">
        <x:v>杨济帆</x:v>
      </x:c>
      <x:c r="F86" s="10" t="str">
        <x:v>湖南省长沙市第一中学</x:v>
      </x:c>
      <x:c r="G86" s="12" t="n">
        <x:f>SUM(H86:J86)+K86</x:f>
        <x:v>536</x:v>
      </x:c>
      <x:c r="H86" s="12" t="n">
        <x:v>100</x:v>
      </x:c>
      <x:c r="I86" s="12" t="n">
        <x:v>232</x:v>
      </x:c>
      <x:c r="J86" s="12" t="n">
        <x:v>204</x:v>
      </x:c>
      <x:c r="K86" s="12" t="n">
        <x:f>IF(D86="A",5,0)</x:f>
        <x:v>0</x:v>
      </x:c>
    </x:row>
    <x:row r="87" ht="30" customHeight="1">
      <x:c r="A87" s="11" t="n">
        <x:f>RANK.EQ(G87,$G$2:$G$523,0)</x:f>
        <x:v>86</x:v>
      </x:c>
      <x:c r="B87" s="7" t="str">
        <x:v>ZJ-002</x:v>
      </x:c>
      <x:c r="C87" s="7" t="str">
        <x:v>ZJ</x:v>
      </x:c>
      <x:c r="D87" s="7" t="str">
        <x:v>A</x:v>
      </x:c>
      <x:c r="E87" s="8" t="str">
        <x:v>汪致远</x:v>
      </x:c>
      <x:c r="F87" s="10" t="str">
        <x:v>浙江金华第一中学</x:v>
      </x:c>
      <x:c r="G87" s="12" t="n">
        <x:f>SUM(H87:J87)+K87</x:f>
        <x:v>535</x:v>
      </x:c>
      <x:c r="H87" s="12" t="n">
        <x:v>99</x:v>
      </x:c>
      <x:c r="I87" s="12" t="n">
        <x:v>247</x:v>
      </x:c>
      <x:c r="J87" s="12" t="n">
        <x:v>184</x:v>
      </x:c>
      <x:c r="K87" s="12" t="n">
        <x:f>IF(D87="A",5,0)</x:f>
        <x:v>5</x:v>
      </x:c>
    </x:row>
    <x:row r="88" ht="30" customHeight="1">
      <x:c r="A88" s="11" t="n">
        <x:f>RANK.EQ(G88,$G$2:$G$523,0)</x:f>
        <x:v>87</x:v>
      </x:c>
      <x:c r="B88" s="7" t="str">
        <x:v>GD-015</x:v>
      </x:c>
      <x:c r="C88" s="7" t="str">
        <x:v>GD</x:v>
      </x:c>
      <x:c r="D88" s="7" t="str">
        <x:v>B</x:v>
      </x:c>
      <x:c r="E88" s="8" t="str">
        <x:v>陈可佳</x:v>
      </x:c>
      <x:c r="F88" s="10" t="str">
        <x:v>广州市铁一中学</x:v>
      </x:c>
      <x:c r="G88" s="12" t="n">
        <x:f>SUM(H88:J88)+K88</x:f>
        <x:v>533</x:v>
      </x:c>
      <x:c r="H88" s="12" t="n">
        <x:v>100</x:v>
      </x:c>
      <x:c r="I88" s="12" t="n">
        <x:v>233</x:v>
      </x:c>
      <x:c r="J88" s="12" t="n">
        <x:v>200</x:v>
      </x:c>
      <x:c r="K88" s="12" t="n">
        <x:f>IF(D88="A",5,0)</x:f>
        <x:v>0</x:v>
      </x:c>
    </x:row>
    <x:row r="89" ht="30" customHeight="1">
      <x:c r="A89" s="11" t="n">
        <x:f>RANK.EQ(G89,$G$2:$G$523,0)</x:f>
        <x:v>88</x:v>
      </x:c>
      <x:c r="B89" s="7" t="str">
        <x:v>FJ-011</x:v>
      </x:c>
      <x:c r="C89" s="7" t="str">
        <x:v>FJ</x:v>
      </x:c>
      <x:c r="D89" s="7" t="str">
        <x:v>B</x:v>
      </x:c>
      <x:c r="E89" s="8" t="str">
        <x:v>陈予喆</x:v>
      </x:c>
      <x:c r="F89" s="10" t="str">
        <x:v>福建省厦门第一中学</x:v>
      </x:c>
      <x:c r="G89" s="12" t="n">
        <x:f>SUM(H89:J89)+K89</x:f>
        <x:v>532</x:v>
      </x:c>
      <x:c r="H89" s="12" t="n">
        <x:v>100</x:v>
      </x:c>
      <x:c r="I89" s="12" t="n">
        <x:v>250</x:v>
      </x:c>
      <x:c r="J89" s="12" t="n">
        <x:v>182</x:v>
      </x:c>
      <x:c r="K89" s="12" t="n">
        <x:f>IF(D89="A",5,0)</x:f>
        <x:v>0</x:v>
      </x:c>
    </x:row>
    <x:row r="90" ht="30" customHeight="1">
      <x:c r="A90" s="11" t="n">
        <x:f>RANK.EQ(G90,$G$2:$G$523,0)</x:f>
        <x:v>88</x:v>
      </x:c>
      <x:c r="B90" s="7" t="str">
        <x:v>GD-019</x:v>
      </x:c>
      <x:c r="C90" s="7" t="str">
        <x:v>GD</x:v>
      </x:c>
      <x:c r="D90" s="7" t="str">
        <x:v>B</x:v>
      </x:c>
      <x:c r="E90" s="8" t="str">
        <x:v>黄豆</x:v>
      </x:c>
      <x:c r="F90" s="10" t="str">
        <x:v>广州大学附属中学</x:v>
      </x:c>
      <x:c r="G90" s="12" t="n">
        <x:f>SUM(H90:J90)+K90</x:f>
        <x:v>532</x:v>
      </x:c>
      <x:c r="H90" s="12" t="n">
        <x:v>100</x:v>
      </x:c>
      <x:c r="I90" s="12" t="n">
        <x:v>284</x:v>
      </x:c>
      <x:c r="J90" s="12" t="n">
        <x:v>148</x:v>
      </x:c>
      <x:c r="K90" s="12" t="n">
        <x:f>IF(D90="A",5,0)</x:f>
        <x:v>0</x:v>
      </x:c>
    </x:row>
    <x:row r="91" ht="30" customHeight="1">
      <x:c r="A91" s="11" t="n">
        <x:f>RANK.EQ(G91,$G$2:$G$523,0)</x:f>
        <x:v>88</x:v>
      </x:c>
      <x:c r="B91" s="7" t="str">
        <x:v>SD-042</x:v>
      </x:c>
      <x:c r="C91" s="7" t="str">
        <x:v>SD</x:v>
      </x:c>
      <x:c r="D91" s="7" t="str">
        <x:v>E</x:v>
      </x:c>
      <x:c r="E91" s="8" t="str">
        <x:v>王嘉煜</x:v>
      </x:c>
      <x:c r="F91" s="10" t="str">
        <x:v>潍坊新纪元学校</x:v>
      </x:c>
      <x:c r="G91" s="12" t="n">
        <x:f>SUM(H91:J91)+K91</x:f>
        <x:v>532</x:v>
      </x:c>
      <x:c r="H91" s="12" t="n">
        <x:v>100</x:v>
      </x:c>
      <x:c r="I91" s="12" t="n">
        <x:v>224</x:v>
      </x:c>
      <x:c r="J91" s="12" t="n">
        <x:v>208</x:v>
      </x:c>
      <x:c r="K91" s="12" t="n">
        <x:f>IF(D91="A",5,0)</x:f>
        <x:v>0</x:v>
      </x:c>
    </x:row>
    <x:row r="92" ht="30" customHeight="1">
      <x:c r="A92" s="11" t="n">
        <x:f>RANK.EQ(G92,$G$2:$G$523,0)</x:f>
        <x:v>91</x:v>
      </x:c>
      <x:c r="B92" s="7" t="str">
        <x:v>FJ-005</x:v>
      </x:c>
      <x:c r="C92" s="7" t="str">
        <x:v>FJ</x:v>
      </x:c>
      <x:c r="D92" s="7" t="str">
        <x:v>A</x:v>
      </x:c>
      <x:c r="E92" s="8" t="str">
        <x:v>施博涵</x:v>
      </x:c>
      <x:c r="F92" s="10" t="str">
        <x:v>福建省福清第一中学</x:v>
      </x:c>
      <x:c r="G92" s="12" t="n">
        <x:f>SUM(H92:J92)+K92</x:f>
        <x:v>531</x:v>
      </x:c>
      <x:c r="H92" s="12" t="n">
        <x:v>100</x:v>
      </x:c>
      <x:c r="I92" s="12" t="n">
        <x:v>226</x:v>
      </x:c>
      <x:c r="J92" s="12" t="n">
        <x:v>200</x:v>
      </x:c>
      <x:c r="K92" s="12" t="n">
        <x:f>IF(D92="A",5,0)</x:f>
        <x:v>5</x:v>
      </x:c>
    </x:row>
    <x:row r="93" ht="30" customHeight="1">
      <x:c r="A93" s="11" t="n">
        <x:f>RANK.EQ(G93,$G$2:$G$523,0)</x:f>
        <x:v>91</x:v>
      </x:c>
      <x:c r="B93" s="7" t="str">
        <x:v>SD-003</x:v>
      </x:c>
      <x:c r="C93" s="7" t="str">
        <x:v>SD</x:v>
      </x:c>
      <x:c r="D93" s="7" t="str">
        <x:v>A</x:v>
      </x:c>
      <x:c r="E93" s="8" t="str">
        <x:v>崔化博</x:v>
      </x:c>
      <x:c r="F93" s="10" t="str">
        <x:v>山东省潍坊第一中学</x:v>
      </x:c>
      <x:c r="G93" s="12" t="n">
        <x:f>SUM(H93:J93)+K93</x:f>
        <x:v>531</x:v>
      </x:c>
      <x:c r="H93" s="12" t="n">
        <x:v>100</x:v>
      </x:c>
      <x:c r="I93" s="12" t="n">
        <x:v>214</x:v>
      </x:c>
      <x:c r="J93" s="12" t="n">
        <x:v>212</x:v>
      </x:c>
      <x:c r="K93" s="12" t="n">
        <x:f>IF(D93="A",5,0)</x:f>
        <x:v>5</x:v>
      </x:c>
    </x:row>
    <x:row r="94" ht="30" customHeight="1">
      <x:c r="A94" s="11" t="n">
        <x:f>RANK.EQ(G94,$G$2:$G$523,0)</x:f>
        <x:v>93</x:v>
      </x:c>
      <x:c r="B94" s="7" t="str">
        <x:v>SH-025</x:v>
      </x:c>
      <x:c r="C94" s="7" t="str">
        <x:v>SH</x:v>
      </x:c>
      <x:c r="D94" s="7" t="str">
        <x:v>E</x:v>
      </x:c>
      <x:c r="E94" s="8" t="str">
        <x:v>马晓天</x:v>
      </x:c>
      <x:c r="F94" s="10" t="str">
        <x:v>上海外国语大学附属外国语学校</x:v>
      </x:c>
      <x:c r="G94" s="12" t="n">
        <x:f>SUM(H94:J94)+K94</x:f>
        <x:v>528</x:v>
      </x:c>
      <x:c r="H94" s="12" t="n">
        <x:v>99</x:v>
      </x:c>
      <x:c r="I94" s="12" t="n">
        <x:v>237</x:v>
      </x:c>
      <x:c r="J94" s="12" t="n">
        <x:v>192</x:v>
      </x:c>
      <x:c r="K94" s="12" t="n">
        <x:f>IF(D94="A",5,0)</x:f>
        <x:v>0</x:v>
      </x:c>
    </x:row>
    <x:row r="95" ht="30" customHeight="1">
      <x:c r="A95" s="11" t="n">
        <x:f>RANK.EQ(G95,$G$2:$G$523,0)</x:f>
        <x:v>94</x:v>
      </x:c>
      <x:c r="B95" s="7" t="str">
        <x:v>JX-001</x:v>
      </x:c>
      <x:c r="C95" s="7" t="str">
        <x:v>JX</x:v>
      </x:c>
      <x:c r="D95" s="7" t="str">
        <x:v>A</x:v>
      </x:c>
      <x:c r="E95" s="8" t="str">
        <x:v>洪泽</x:v>
      </x:c>
      <x:c r="F95" s="10" t="str">
        <x:v>江西科技学院附属中学</x:v>
      </x:c>
      <x:c r="G95" s="12" t="n">
        <x:f>SUM(H95:J95)+K95</x:f>
        <x:v>527</x:v>
      </x:c>
      <x:c r="H95" s="12" t="n">
        <x:v>100</x:v>
      </x:c>
      <x:c r="I95" s="12" t="n">
        <x:v>214</x:v>
      </x:c>
      <x:c r="J95" s="12" t="n">
        <x:v>208</x:v>
      </x:c>
      <x:c r="K95" s="12" t="n">
        <x:f>IF(D95="A",5,0)</x:f>
        <x:v>5</x:v>
      </x:c>
    </x:row>
    <x:row r="96" ht="30" customHeight="1">
      <x:c r="A96" s="11" t="n">
        <x:f>RANK.EQ(G96,$G$2:$G$523,0)</x:f>
        <x:v>95</x:v>
      </x:c>
      <x:c r="B96" s="7" t="str">
        <x:v>CQ-025</x:v>
      </x:c>
      <x:c r="C96" s="7" t="str">
        <x:v>CQ</x:v>
      </x:c>
      <x:c r="D96" s="7" t="str">
        <x:v>D</x:v>
      </x:c>
      <x:c r="E96" s="8" t="str">
        <x:v>李子鸣</x:v>
      </x:c>
      <x:c r="F96" s="10" t="str">
        <x:v>重庆市南渝中学校</x:v>
      </x:c>
      <x:c r="G96" s="12" t="n">
        <x:f>SUM(H96:J96)+K96</x:f>
        <x:v>526</x:v>
      </x:c>
      <x:c r="H96" s="12" t="n">
        <x:v>100</x:v>
      </x:c>
      <x:c r="I96" s="12" t="n">
        <x:v>222</x:v>
      </x:c>
      <x:c r="J96" s="12" t="n">
        <x:v>204</x:v>
      </x:c>
      <x:c r="K96" s="12" t="n">
        <x:f>IF(D96="A",5,0)</x:f>
        <x:v>0</x:v>
      </x:c>
    </x:row>
    <x:row r="97" ht="30" customHeight="1">
      <x:c r="A97" s="11" t="n">
        <x:f>RANK.EQ(G97,$G$2:$G$523,0)</x:f>
        <x:v>95</x:v>
      </x:c>
      <x:c r="B97" s="7" t="str">
        <x:v>HN-005</x:v>
      </x:c>
      <x:c r="C97" s="7" t="str">
        <x:v>HN</x:v>
      </x:c>
      <x:c r="D97" s="7" t="str">
        <x:v>A</x:v>
      </x:c>
      <x:c r="E97" s="8" t="str">
        <x:v>肖开睿</x:v>
      </x:c>
      <x:c r="F97" s="10" t="str">
        <x:v>长沙市雅礼中学</x:v>
      </x:c>
      <x:c r="G97" s="12" t="n">
        <x:f>SUM(H97:J97)+K97</x:f>
        <x:v>526</x:v>
      </x:c>
      <x:c r="H97" s="12" t="n">
        <x:v>100</x:v>
      </x:c>
      <x:c r="I97" s="12" t="n">
        <x:v>209</x:v>
      </x:c>
      <x:c r="J97" s="12" t="n">
        <x:v>212</x:v>
      </x:c>
      <x:c r="K97" s="12" t="n">
        <x:f>IF(D97="A",5,0)</x:f>
        <x:v>5</x:v>
      </x:c>
    </x:row>
    <x:row r="98" ht="30" customHeight="1">
      <x:c r="A98" s="11" t="n">
        <x:f>RANK.EQ(G98,$G$2:$G$523,0)</x:f>
        <x:v>95</x:v>
      </x:c>
      <x:c r="B98" s="7" t="str">
        <x:v>HN-012</x:v>
      </x:c>
      <x:c r="C98" s="7" t="str">
        <x:v>HN</x:v>
      </x:c>
      <x:c r="D98" s="7" t="str">
        <x:v>B</x:v>
      </x:c>
      <x:c r="E98" s="8" t="str">
        <x:v>史振烨</x:v>
      </x:c>
      <x:c r="F98" s="10" t="str">
        <x:v>湖南省长沙市第一中学</x:v>
      </x:c>
      <x:c r="G98" s="12" t="n">
        <x:f>SUM(H98:J98)+K98</x:f>
        <x:v>526</x:v>
      </x:c>
      <x:c r="H98" s="12" t="n">
        <x:v>99</x:v>
      </x:c>
      <x:c r="I98" s="12" t="n">
        <x:v>292</x:v>
      </x:c>
      <x:c r="J98" s="12" t="n">
        <x:v>135</x:v>
      </x:c>
      <x:c r="K98" s="12" t="n">
        <x:f>IF(D98="A",5,0)</x:f>
        <x:v>0</x:v>
      </x:c>
    </x:row>
    <x:row r="99" ht="30" customHeight="1">
      <x:c r="A99" s="11" t="n">
        <x:f>RANK.EQ(G99,$G$2:$G$523,0)</x:f>
        <x:v>98</x:v>
      </x:c>
      <x:c r="B99" s="7" t="str">
        <x:v>HN-002</x:v>
      </x:c>
      <x:c r="C99" s="7" t="str">
        <x:v>HN</x:v>
      </x:c>
      <x:c r="D99" s="7" t="str">
        <x:v>A</x:v>
      </x:c>
      <x:c r="E99" s="8" t="str">
        <x:v>周雨衡</x:v>
      </x:c>
      <x:c r="F99" s="10" t="str">
        <x:v>长沙市长郡中学</x:v>
      </x:c>
      <x:c r="G99" s="12" t="n">
        <x:f>SUM(H99:J99)+K99</x:f>
        <x:v>525</x:v>
      </x:c>
      <x:c r="H99" s="12" t="n">
        <x:v>100</x:v>
      </x:c>
      <x:c r="I99" s="12" t="n">
        <x:v>300</x:v>
      </x:c>
      <x:c r="J99" s="12" t="n">
        <x:v>120</x:v>
      </x:c>
      <x:c r="K99" s="12" t="n">
        <x:f>IF(D99="A",5,0)</x:f>
        <x:v>5</x:v>
      </x:c>
    </x:row>
    <x:row r="100" ht="30" customHeight="1">
      <x:c r="A100" s="11" t="n">
        <x:f>RANK.EQ(G100,$G$2:$G$523,0)</x:f>
        <x:v>99</x:v>
      </x:c>
      <x:c r="B100" s="7" t="str">
        <x:v>BJ-018</x:v>
      </x:c>
      <x:c r="C100" s="7" t="str">
        <x:v>BJ</x:v>
      </x:c>
      <x:c r="D100" s="7" t="str">
        <x:v>B</x:v>
      </x:c>
      <x:c r="E100" s="8" t="str">
        <x:v>郑鸿毅</x:v>
      </x:c>
      <x:c r="F100" s="10" t="str">
        <x:v>中国人民大学附属中学</x:v>
      </x:c>
      <x:c r="G100" s="12" t="n">
        <x:f>SUM(H100:J100)+K100</x:f>
        <x:v>524</x:v>
      </x:c>
      <x:c r="H100" s="12" t="n">
        <x:v>100</x:v>
      </x:c>
      <x:c r="I100" s="12" t="n">
        <x:v>233</x:v>
      </x:c>
      <x:c r="J100" s="12" t="n">
        <x:v>191</x:v>
      </x:c>
      <x:c r="K100" s="12" t="n">
        <x:f>IF(D100="A",5,0)</x:f>
        <x:v>0</x:v>
      </x:c>
    </x:row>
    <x:row r="101" ht="30" customHeight="1">
      <x:c r="A101" s="11" t="n">
        <x:f>RANK.EQ(G101,$G$2:$G$523,0)</x:f>
        <x:v>99</x:v>
      </x:c>
      <x:c r="B101" s="7" t="str">
        <x:v>CQ-027</x:v>
      </x:c>
      <x:c r="C101" s="7" t="str">
        <x:v>CQ</x:v>
      </x:c>
      <x:c r="D101" s="7" t="str">
        <x:v>E</x:v>
      </x:c>
      <x:c r="E101" s="8" t="str">
        <x:v>倪康乐</x:v>
      </x:c>
      <x:c r="F101" s="10" t="str">
        <x:v>重庆市南渝中学校</x:v>
      </x:c>
      <x:c r="G101" s="12" t="n">
        <x:f>SUM(H101:J101)+K101</x:f>
        <x:v>524</x:v>
      </x:c>
      <x:c r="H101" s="12" t="n">
        <x:v>100</x:v>
      </x:c>
      <x:c r="I101" s="12" t="n">
        <x:v>224</x:v>
      </x:c>
      <x:c r="J101" s="12" t="n">
        <x:v>200</x:v>
      </x:c>
      <x:c r="K101" s="12" t="n">
        <x:f>IF(D101="A",5,0)</x:f>
        <x:v>0</x:v>
      </x:c>
    </x:row>
    <x:row r="102" ht="30" customHeight="1">
      <x:c r="A102" s="11" t="n">
        <x:f>RANK.EQ(G102,$G$2:$G$523,0)</x:f>
        <x:v>99</x:v>
      </x:c>
      <x:c r="B102" s="7" t="str">
        <x:v>HB-001</x:v>
      </x:c>
      <x:c r="C102" s="7" t="str">
        <x:v>HB</x:v>
      </x:c>
      <x:c r="D102" s="7" t="str">
        <x:v>A</x:v>
      </x:c>
      <x:c r="E102" s="8" t="str">
        <x:v>伍敬宇</x:v>
      </x:c>
      <x:c r="F102" s="10" t="str">
        <x:v>华中师范大学第一附属中学</x:v>
      </x:c>
      <x:c r="G102" s="12" t="n">
        <x:f>SUM(H102:J102)+K102</x:f>
        <x:v>524</x:v>
      </x:c>
      <x:c r="H102" s="12" t="n">
        <x:v>100</x:v>
      </x:c>
      <x:c r="I102" s="12" t="n">
        <x:v>231</x:v>
      </x:c>
      <x:c r="J102" s="12" t="n">
        <x:v>188</x:v>
      </x:c>
      <x:c r="K102" s="12" t="n">
        <x:f>IF(D102="A",5,0)</x:f>
        <x:v>5</x:v>
      </x:c>
    </x:row>
    <x:row r="103" ht="30" customHeight="1">
      <x:c r="A103" s="11" t="n">
        <x:f>RANK.EQ(G103,$G$2:$G$523,0)</x:f>
        <x:v>102</x:v>
      </x:c>
      <x:c r="B103" s="7" t="str">
        <x:v>GX-003</x:v>
      </x:c>
      <x:c r="C103" s="7" t="str">
        <x:v>GX</x:v>
      </x:c>
      <x:c r="D103" s="7" t="str">
        <x:v>A</x:v>
      </x:c>
      <x:c r="E103" s="8" t="str">
        <x:v>李思睿</x:v>
      </x:c>
      <x:c r="F103" s="10" t="str">
        <x:v>广西师范大学附属外国语学校</x:v>
      </x:c>
      <x:c r="G103" s="12" t="n">
        <x:f>SUM(H103:J103)+K103</x:f>
        <x:v>521</x:v>
      </x:c>
      <x:c r="H103" s="12" t="n">
        <x:v>100</x:v>
      </x:c>
      <x:c r="I103" s="12" t="n">
        <x:v>213</x:v>
      </x:c>
      <x:c r="J103" s="12" t="n">
        <x:v>203</x:v>
      </x:c>
      <x:c r="K103" s="12" t="n">
        <x:f>IF(D103="A",5,0)</x:f>
        <x:v>5</x:v>
      </x:c>
    </x:row>
    <x:row r="104" ht="30" customHeight="1">
      <x:c r="A104" s="11" t="n">
        <x:f>RANK.EQ(G104,$G$2:$G$523,0)</x:f>
        <x:v>103</x:v>
      </x:c>
      <x:c r="B104" s="7" t="str">
        <x:v>SC-002</x:v>
      </x:c>
      <x:c r="C104" s="7" t="str">
        <x:v>SC</x:v>
      </x:c>
      <x:c r="D104" s="7" t="str">
        <x:v>A</x:v>
      </x:c>
      <x:c r="E104" s="8" t="str">
        <x:v>邓融阔</x:v>
      </x:c>
      <x:c r="F104" s="10" t="str">
        <x:v>四川省成都市第七中学</x:v>
      </x:c>
      <x:c r="G104" s="12" t="n">
        <x:f>SUM(H104:J104)+K104</x:f>
        <x:v>520</x:v>
      </x:c>
      <x:c r="H104" s="12" t="n">
        <x:v>100</x:v>
      </x:c>
      <x:c r="I104" s="12" t="n">
        <x:v>216</x:v>
      </x:c>
      <x:c r="J104" s="12" t="n">
        <x:v>199</x:v>
      </x:c>
      <x:c r="K104" s="12" t="n">
        <x:f>IF(D104="A",5,0)</x:f>
        <x:v>5</x:v>
      </x:c>
    </x:row>
    <x:row r="105" ht="30" customHeight="1">
      <x:c r="A105" s="11" t="n">
        <x:f>RANK.EQ(G105,$G$2:$G$523,0)</x:f>
        <x:v>104</x:v>
      </x:c>
      <x:c r="B105" s="7" t="str">
        <x:v>SD-014</x:v>
      </x:c>
      <x:c r="C105" s="7" t="str">
        <x:v>SD</x:v>
      </x:c>
      <x:c r="D105" s="7" t="str">
        <x:v>B</x:v>
      </x:c>
      <x:c r="E105" s="8" t="str">
        <x:v>周信伯</x:v>
      </x:c>
      <x:c r="F105" s="10" t="str">
        <x:v>山东省青岛第二中学</x:v>
      </x:c>
      <x:c r="G105" s="12" t="n">
        <x:f>SUM(H105:J105)+K105</x:f>
        <x:v>519</x:v>
      </x:c>
      <x:c r="H105" s="12" t="n">
        <x:v>100</x:v>
      </x:c>
      <x:c r="I105" s="12" t="n">
        <x:v>267</x:v>
      </x:c>
      <x:c r="J105" s="12" t="n">
        <x:v>152</x:v>
      </x:c>
      <x:c r="K105" s="12" t="n">
        <x:f>IF(D105="A",5,0)</x:f>
        <x:v>0</x:v>
      </x:c>
    </x:row>
    <x:row r="106" ht="30" customHeight="1">
      <x:c r="A106" s="11" t="n">
        <x:f>RANK.EQ(G106,$G$2:$G$523,0)</x:f>
        <x:v>105</x:v>
      </x:c>
      <x:c r="B106" s="7" t="str">
        <x:v>BJ-020</x:v>
      </x:c>
      <x:c r="C106" s="7" t="str">
        <x:v>BJ</x:v>
      </x:c>
      <x:c r="D106" s="7" t="str">
        <x:v>B</x:v>
      </x:c>
      <x:c r="E106" s="8" t="str">
        <x:v>王梓丞</x:v>
      </x:c>
      <x:c r="F106" s="10" t="str">
        <x:v>中国人民大学附属中学</x:v>
      </x:c>
      <x:c r="G106" s="12" t="n">
        <x:f>SUM(H106:J106)+K106</x:f>
        <x:v>516</x:v>
      </x:c>
      <x:c r="H106" s="12" t="n">
        <x:v>100</x:v>
      </x:c>
      <x:c r="I106" s="12" t="n">
        <x:v>268</x:v>
      </x:c>
      <x:c r="J106" s="12" t="n">
        <x:v>148</x:v>
      </x:c>
      <x:c r="K106" s="12" t="n">
        <x:f>IF(D106="A",5,0)</x:f>
        <x:v>0</x:v>
      </x:c>
    </x:row>
    <x:row r="107" ht="30" customHeight="1">
      <x:c r="A107" s="11" t="n">
        <x:f>RANK.EQ(G107,$G$2:$G$523,0)</x:f>
        <x:v>106</x:v>
      </x:c>
      <x:c r="B107" s="7" t="str">
        <x:v>JS-014</x:v>
      </x:c>
      <x:c r="C107" s="7" t="str">
        <x:v>JS</x:v>
      </x:c>
      <x:c r="D107" s="7" t="str">
        <x:v>B</x:v>
      </x:c>
      <x:c r="E107" s="8" t="str">
        <x:v>张桓睿</x:v>
      </x:c>
      <x:c r="F107" s="10" t="str">
        <x:v>南京外国语学校</x:v>
      </x:c>
      <x:c r="G107" s="12" t="n">
        <x:f>SUM(H107:J107)+K107</x:f>
        <x:v>514</x:v>
      </x:c>
      <x:c r="H107" s="12" t="n">
        <x:v>100</x:v>
      </x:c>
      <x:c r="I107" s="12" t="n">
        <x:v>256</x:v>
      </x:c>
      <x:c r="J107" s="12" t="n">
        <x:v>158</x:v>
      </x:c>
      <x:c r="K107" s="12" t="n">
        <x:f>IF(D107="A",5,0)</x:f>
        <x:v>0</x:v>
      </x:c>
    </x:row>
    <x:row r="108" ht="30" customHeight="1">
      <x:c r="A108" s="11" t="n">
        <x:f>RANK.EQ(G108,$G$2:$G$523,0)</x:f>
        <x:v>106</x:v>
      </x:c>
      <x:c r="B108" s="7" t="str">
        <x:v>ZJ-010</x:v>
      </x:c>
      <x:c r="C108" s="7" t="str">
        <x:v>ZJ</x:v>
      </x:c>
      <x:c r="D108" s="7" t="str">
        <x:v>B</x:v>
      </x:c>
      <x:c r="E108" s="8" t="str">
        <x:v>刘家萌</x:v>
      </x:c>
      <x:c r="F108" s="10" t="str">
        <x:v>浙江省诸暨市海亮高级中学</x:v>
      </x:c>
      <x:c r="G108" s="12" t="n">
        <x:f>SUM(H108:J108)+K108</x:f>
        <x:v>514</x:v>
      </x:c>
      <x:c r="H108" s="12" t="n">
        <x:v>100</x:v>
      </x:c>
      <x:c r="I108" s="12" t="n">
        <x:v>239</x:v>
      </x:c>
      <x:c r="J108" s="12" t="n">
        <x:v>175</x:v>
      </x:c>
      <x:c r="K108" s="12" t="n">
        <x:f>IF(D108="A",5,0)</x:f>
        <x:v>0</x:v>
      </x:c>
    </x:row>
    <x:row r="109" ht="30" customHeight="1">
      <x:c r="A109" s="11" t="n">
        <x:f>RANK.EQ(G109,$G$2:$G$523,0)</x:f>
        <x:v>108</x:v>
      </x:c>
      <x:c r="B109" s="7" t="str">
        <x:v>GD-014</x:v>
      </x:c>
      <x:c r="C109" s="7" t="str">
        <x:v>GD</x:v>
      </x:c>
      <x:c r="D109" s="7" t="str">
        <x:v>B</x:v>
      </x:c>
      <x:c r="E109" s="8" t="str">
        <x:v>于镓赫</x:v>
      </x:c>
      <x:c r="F109" s="10" t="str">
        <x:v>广州市铁一中学</x:v>
      </x:c>
      <x:c r="G109" s="12" t="n">
        <x:f>SUM(H109:J109)+K109</x:f>
        <x:v>511</x:v>
      </x:c>
      <x:c r="H109" s="12" t="n">
        <x:v>100</x:v>
      </x:c>
      <x:c r="I109" s="12" t="n">
        <x:v>211</x:v>
      </x:c>
      <x:c r="J109" s="12" t="n">
        <x:v>200</x:v>
      </x:c>
      <x:c r="K109" s="12" t="n">
        <x:f>IF(D109="A",5,0)</x:f>
        <x:v>0</x:v>
      </x:c>
    </x:row>
    <x:row r="110" ht="30" customHeight="1">
      <x:c r="A110" s="11" t="n">
        <x:f>RANK.EQ(G110,$G$2:$G$523,0)</x:f>
        <x:v>109</x:v>
      </x:c>
      <x:c r="B110" s="7" t="str">
        <x:v>JS-008</x:v>
      </x:c>
      <x:c r="C110" s="7" t="str">
        <x:v>JS</x:v>
      </x:c>
      <x:c r="D110" s="7" t="str">
        <x:v>B</x:v>
      </x:c>
      <x:c r="E110" s="8" t="str">
        <x:v>程俊彦</x:v>
      </x:c>
      <x:c r="F110" s="10" t="str">
        <x:v>江苏省苏州中学校</x:v>
      </x:c>
      <x:c r="G110" s="12" t="n">
        <x:f>SUM(H110:J110)+K110</x:f>
        <x:v>510</x:v>
      </x:c>
      <x:c r="H110" s="12" t="n">
        <x:v>100</x:v>
      </x:c>
      <x:c r="I110" s="12" t="n">
        <x:v>202</x:v>
      </x:c>
      <x:c r="J110" s="12" t="n">
        <x:v>208</x:v>
      </x:c>
      <x:c r="K110" s="12" t="n">
        <x:f>IF(D110="A",5,0)</x:f>
        <x:v>0</x:v>
      </x:c>
    </x:row>
    <x:row r="111" ht="30" customHeight="1">
      <x:c r="A111" s="11" t="n">
        <x:f>RANK.EQ(G111,$G$2:$G$523,0)</x:f>
        <x:v>110</x:v>
      </x:c>
      <x:c r="B111" s="7" t="str">
        <x:v>BJ-005</x:v>
      </x:c>
      <x:c r="C111" s="7" t="str">
        <x:v>BJ</x:v>
      </x:c>
      <x:c r="D111" s="7" t="str">
        <x:v>A</x:v>
      </x:c>
      <x:c r="E111" s="8" t="str">
        <x:v>王思源</x:v>
      </x:c>
      <x:c r="F111" s="10" t="str">
        <x:v>中国人民大学附属中学</x:v>
      </x:c>
      <x:c r="G111" s="12" t="n">
        <x:f>SUM(H111:J111)+K111</x:f>
        <x:v>509</x:v>
      </x:c>
      <x:c r="H111" s="12" t="n">
        <x:v>100</x:v>
      </x:c>
      <x:c r="I111" s="12" t="n">
        <x:v>264</x:v>
      </x:c>
      <x:c r="J111" s="12" t="n">
        <x:v>140</x:v>
      </x:c>
      <x:c r="K111" s="12" t="n">
        <x:f>IF(D111="A",5,0)</x:f>
        <x:v>5</x:v>
      </x:c>
    </x:row>
    <x:row r="112" ht="30" customHeight="1">
      <x:c r="A112" s="11" t="n">
        <x:f>RANK.EQ(G112,$G$2:$G$523,0)</x:f>
        <x:v>111</x:v>
      </x:c>
      <x:c r="B112" s="7" t="str">
        <x:v>HN-011</x:v>
      </x:c>
      <x:c r="C112" s="7" t="str">
        <x:v>HN</x:v>
      </x:c>
      <x:c r="D112" s="7" t="str">
        <x:v>B</x:v>
      </x:c>
      <x:c r="E112" s="8" t="str">
        <x:v>匡宸锐</x:v>
      </x:c>
      <x:c r="F112" s="10" t="str">
        <x:v>湖南省长沙市第一中学</x:v>
      </x:c>
      <x:c r="G112" s="12" t="n">
        <x:f>SUM(H112:J112)+K112</x:f>
        <x:v>508</x:v>
      </x:c>
      <x:c r="H112" s="12" t="n">
        <x:v>100</x:v>
      </x:c>
      <x:c r="I112" s="12" t="n">
        <x:v>200</x:v>
      </x:c>
      <x:c r="J112" s="12" t="n">
        <x:v>208</x:v>
      </x:c>
      <x:c r="K112" s="12" t="n">
        <x:f>IF(D112="A",5,0)</x:f>
        <x:v>0</x:v>
      </x:c>
    </x:row>
    <x:row r="113" ht="30" customHeight="1">
      <x:c r="A113" s="11" t="n">
        <x:f>RANK.EQ(G113,$G$2:$G$523,0)</x:f>
        <x:v>112</x:v>
      </x:c>
      <x:c r="B113" s="7" t="str">
        <x:v>SC-006</x:v>
      </x:c>
      <x:c r="C113" s="7" t="str">
        <x:v>SC</x:v>
      </x:c>
      <x:c r="D113" s="7" t="str">
        <x:v>B</x:v>
      </x:c>
      <x:c r="E113" s="8" t="str">
        <x:v>古皓羽</x:v>
      </x:c>
      <x:c r="F113" s="10" t="str">
        <x:v>成都东部新区第七中学校（成都七中东部学校）</x:v>
      </x:c>
      <x:c r="G113" s="12" t="n">
        <x:f>SUM(H113:J113)+K113</x:f>
        <x:v>506</x:v>
      </x:c>
      <x:c r="H113" s="12" t="n">
        <x:v>100</x:v>
      </x:c>
      <x:c r="I113" s="12" t="n">
        <x:v>206</x:v>
      </x:c>
      <x:c r="J113" s="12" t="n">
        <x:v>200</x:v>
      </x:c>
      <x:c r="K113" s="12" t="n">
        <x:f>IF(D113="A",5,0)</x:f>
        <x:v>0</x:v>
      </x:c>
    </x:row>
    <x:row r="114" ht="30" customHeight="1">
      <x:c r="A114" s="11" t="n">
        <x:f>RANK.EQ(G114,$G$2:$G$523,0)</x:f>
        <x:v>112</x:v>
      </x:c>
      <x:c r="B114" s="7" t="str">
        <x:v>ZJ-017</x:v>
      </x:c>
      <x:c r="C114" s="7" t="str">
        <x:v>ZJ</x:v>
      </x:c>
      <x:c r="D114" s="7" t="str">
        <x:v>B</x:v>
      </x:c>
      <x:c r="E114" s="8" t="str">
        <x:v>郑涵匀</x:v>
      </x:c>
      <x:c r="F114" s="10" t="str">
        <x:v>镇海中学台州分校</x:v>
      </x:c>
      <x:c r="G114" s="12" t="n">
        <x:f>SUM(H114:J114)+K114</x:f>
        <x:v>506</x:v>
      </x:c>
      <x:c r="H114" s="12" t="n">
        <x:v>100</x:v>
      </x:c>
      <x:c r="I114" s="12" t="n">
        <x:v>258</x:v>
      </x:c>
      <x:c r="J114" s="12" t="n">
        <x:v>148</x:v>
      </x:c>
      <x:c r="K114" s="12" t="n">
        <x:f>IF(D114="A",5,0)</x:f>
        <x:v>0</x:v>
      </x:c>
    </x:row>
    <x:row r="115" ht="30" customHeight="1">
      <x:c r="A115" s="11" t="n">
        <x:f>RANK.EQ(G115,$G$2:$G$523,0)</x:f>
        <x:v>114</x:v>
      </x:c>
      <x:c r="B115" s="7" t="str">
        <x:v>FJ-010</x:v>
      </x:c>
      <x:c r="C115" s="7" t="str">
        <x:v>FJ</x:v>
      </x:c>
      <x:c r="D115" s="7" t="str">
        <x:v>B</x:v>
      </x:c>
      <x:c r="E115" s="8" t="str">
        <x:v>张子朴</x:v>
      </x:c>
      <x:c r="F115" s="10" t="str">
        <x:v>福建省厦门第一中学</x:v>
      </x:c>
      <x:c r="G115" s="12" t="n">
        <x:f>SUM(H115:J115)+K115</x:f>
        <x:v>505</x:v>
      </x:c>
      <x:c r="H115" s="12" t="n">
        <x:v>100</x:v>
      </x:c>
      <x:c r="I115" s="12" t="n">
        <x:v>205</x:v>
      </x:c>
      <x:c r="J115" s="12" t="n">
        <x:v>200</x:v>
      </x:c>
      <x:c r="K115" s="12" t="n">
        <x:f>IF(D115="A",5,0)</x:f>
        <x:v>0</x:v>
      </x:c>
    </x:row>
    <x:row r="116" ht="30" customHeight="1">
      <x:c r="A116" s="11" t="n">
        <x:f>RANK.EQ(G116,$G$2:$G$523,0)</x:f>
        <x:v>114</x:v>
      </x:c>
      <x:c r="B116" s="7" t="str">
        <x:v>ZJ-030</x:v>
      </x:c>
      <x:c r="C116" s="7" t="str">
        <x:v>ZJ</x:v>
      </x:c>
      <x:c r="D116" s="7" t="str">
        <x:v>D</x:v>
      </x:c>
      <x:c r="E116" s="8" t="str">
        <x:v>斯嘉智</x:v>
      </x:c>
      <x:c r="F116" s="10" t="str">
        <x:v>杭州第二中学</x:v>
      </x:c>
      <x:c r="G116" s="12" t="n">
        <x:f>SUM(H116:J116)+K116</x:f>
        <x:v>505</x:v>
      </x:c>
      <x:c r="H116" s="12" t="n">
        <x:v>100</x:v>
      </x:c>
      <x:c r="I116" s="12" t="n">
        <x:v>235</x:v>
      </x:c>
      <x:c r="J116" s="12" t="n">
        <x:v>170</x:v>
      </x:c>
      <x:c r="K116" s="12" t="n">
        <x:f>IF(D116="A",5,0)</x:f>
        <x:v>0</x:v>
      </x:c>
    </x:row>
    <x:row r="117" ht="30" customHeight="1">
      <x:c r="A117" s="11" t="n">
        <x:f>RANK.EQ(G117,$G$2:$G$523,0)</x:f>
        <x:v>116</x:v>
      </x:c>
      <x:c r="B117" s="7" t="str">
        <x:v>GD-018</x:v>
      </x:c>
      <x:c r="C117" s="7" t="str">
        <x:v>GD</x:v>
      </x:c>
      <x:c r="D117" s="7" t="str">
        <x:v>B</x:v>
      </x:c>
      <x:c r="E117" s="8" t="str">
        <x:v>朱瀚阳</x:v>
      </x:c>
      <x:c r="F117" s="10" t="str">
        <x:v>深圳中学</x:v>
      </x:c>
      <x:c r="G117" s="12" t="n">
        <x:f>SUM(H117:J117)+K117</x:f>
        <x:v>504</x:v>
      </x:c>
      <x:c r="H117" s="12" t="n">
        <x:v>100</x:v>
      </x:c>
      <x:c r="I117" s="12" t="n">
        <x:v>244</x:v>
      </x:c>
      <x:c r="J117" s="12" t="n">
        <x:v>160</x:v>
      </x:c>
      <x:c r="K117" s="12" t="n">
        <x:f>IF(D117="A",5,0)</x:f>
        <x:v>0</x:v>
      </x:c>
    </x:row>
    <x:row r="118" ht="30" customHeight="1">
      <x:c r="A118" s="11" t="n">
        <x:f>RANK.EQ(G118,$G$2:$G$523,0)</x:f>
        <x:v>117</x:v>
      </x:c>
      <x:c r="B118" s="7" t="str">
        <x:v>CQ-014</x:v>
      </x:c>
      <x:c r="C118" s="7" t="str">
        <x:v>CQ</x:v>
      </x:c>
      <x:c r="D118" s="7" t="str">
        <x:v>B</x:v>
      </x:c>
      <x:c r="E118" s="8" t="str">
        <x:v>张宇铭</x:v>
      </x:c>
      <x:c r="F118" s="10" t="str">
        <x:v>重庆市第八中学校</x:v>
      </x:c>
      <x:c r="G118" s="12" t="n">
        <x:f>SUM(H118:J118)+K118</x:f>
        <x:v>502</x:v>
      </x:c>
      <x:c r="H118" s="12" t="n">
        <x:v>100</x:v>
      </x:c>
      <x:c r="I118" s="12" t="n">
        <x:v>194</x:v>
      </x:c>
      <x:c r="J118" s="12" t="n">
        <x:v>208</x:v>
      </x:c>
      <x:c r="K118" s="12" t="n">
        <x:f>IF(D118="A",5,0)</x:f>
        <x:v>0</x:v>
      </x:c>
    </x:row>
    <x:row r="119" ht="30" customHeight="1">
      <x:c r="A119" s="11" t="n">
        <x:f>RANK.EQ(G119,$G$2:$G$523,0)</x:f>
        <x:v>117</x:v>
      </x:c>
      <x:c r="B119" s="7" t="str">
        <x:v>ZJ-040</x:v>
      </x:c>
      <x:c r="C119" s="7" t="str">
        <x:v>ZJ</x:v>
      </x:c>
      <x:c r="D119" s="7" t="str">
        <x:v>D</x:v>
      </x:c>
      <x:c r="E119" s="8" t="str">
        <x:v>应可骞</x:v>
      </x:c>
      <x:c r="F119" s="10" t="str">
        <x:v>宁波市镇海蛟川书院</x:v>
      </x:c>
      <x:c r="G119" s="12" t="n">
        <x:f>SUM(H119:J119)+K119</x:f>
        <x:v>502</x:v>
      </x:c>
      <x:c r="H119" s="12" t="n">
        <x:v>99</x:v>
      </x:c>
      <x:c r="I119" s="12" t="n">
        <x:v>228</x:v>
      </x:c>
      <x:c r="J119" s="12" t="n">
        <x:v>175</x:v>
      </x:c>
      <x:c r="K119" s="12" t="n">
        <x:f>IF(D119="A",5,0)</x:f>
        <x:v>0</x:v>
      </x:c>
    </x:row>
    <x:row r="120" ht="30" customHeight="1">
      <x:c r="A120" s="11" t="n">
        <x:f>RANK.EQ(G120,$G$2:$G$523,0)</x:f>
        <x:v>119</x:v>
      </x:c>
      <x:c r="B120" s="7" t="str">
        <x:v>JS-017</x:v>
      </x:c>
      <x:c r="C120" s="7" t="str">
        <x:v>JS</x:v>
      </x:c>
      <x:c r="D120" s="7" t="str">
        <x:v>B</x:v>
      </x:c>
      <x:c r="E120" s="8" t="str">
        <x:v>陶奕潇</x:v>
      </x:c>
      <x:c r="F120" s="10" t="str">
        <x:v>江苏省锡山高级中学</x:v>
      </x:c>
      <x:c r="G120" s="12" t="n">
        <x:f>SUM(H120:J120)+K120</x:f>
        <x:v>501</x:v>
      </x:c>
      <x:c r="H120" s="12" t="n">
        <x:v>100</x:v>
      </x:c>
      <x:c r="I120" s="12" t="n">
        <x:v>211</x:v>
      </x:c>
      <x:c r="J120" s="12" t="n">
        <x:v>190</x:v>
      </x:c>
      <x:c r="K120" s="12" t="n">
        <x:f>IF(D120="A",5,0)</x:f>
        <x:v>0</x:v>
      </x:c>
    </x:row>
    <x:row r="121" ht="30" customHeight="1">
      <x:c r="A121" s="11" t="n">
        <x:f>RANK.EQ(G121,$G$2:$G$523,0)</x:f>
        <x:v>120</x:v>
      </x:c>
      <x:c r="B121" s="7" t="str">
        <x:v>GD-029</x:v>
      </x:c>
      <x:c r="C121" s="7" t="str">
        <x:v>GD</x:v>
      </x:c>
      <x:c r="D121" s="7" t="str">
        <x:v>D</x:v>
      </x:c>
      <x:c r="E121" s="8" t="str">
        <x:v>许由</x:v>
      </x:c>
      <x:c r="F121" s="10" t="str">
        <x:v>深圳外国语学校</x:v>
      </x:c>
      <x:c r="G121" s="12" t="n">
        <x:f>SUM(H121:J121)+K121</x:f>
        <x:v>500</x:v>
      </x:c>
      <x:c r="H121" s="12" t="n">
        <x:v>100</x:v>
      </x:c>
      <x:c r="I121" s="12" t="n">
        <x:v>192</x:v>
      </x:c>
      <x:c r="J121" s="12" t="n">
        <x:v>208</x:v>
      </x:c>
      <x:c r="K121" s="12" t="n">
        <x:f>IF(D121="A",5,0)</x:f>
        <x:v>0</x:v>
      </x:c>
    </x:row>
    <x:row r="122" ht="30" customHeight="1">
      <x:c r="A122" s="11" t="n">
        <x:f>RANK.EQ(G122,$G$2:$G$523,0)</x:f>
        <x:v>120</x:v>
      </x:c>
      <x:c r="B122" s="7" t="str">
        <x:v>SD-012</x:v>
      </x:c>
      <x:c r="C122" s="7" t="str">
        <x:v>SD</x:v>
      </x:c>
      <x:c r="D122" s="7" t="str">
        <x:v>B</x:v>
      </x:c>
      <x:c r="E122" s="8" t="str">
        <x:v>蒲通</x:v>
      </x:c>
      <x:c r="F122" s="10" t="str">
        <x:v>山东省烟台第二中学</x:v>
      </x:c>
      <x:c r="G122" s="12" t="n">
        <x:f>SUM(H122:J122)+K122</x:f>
        <x:v>500</x:v>
      </x:c>
      <x:c r="H122" s="12" t="n">
        <x:v>100</x:v>
      </x:c>
      <x:c r="I122" s="12" t="n">
        <x:v>196</x:v>
      </x:c>
      <x:c r="J122" s="12" t="n">
        <x:v>204</x:v>
      </x:c>
      <x:c r="K122" s="12" t="n">
        <x:f>IF(D122="A",5,0)</x:f>
        <x:v>0</x:v>
      </x:c>
    </x:row>
    <x:row r="123" ht="30" customHeight="1">
      <x:c r="A123" s="11" t="n">
        <x:f>RANK.EQ(G123,$G$2:$G$523,0)</x:f>
        <x:v>120</x:v>
      </x:c>
      <x:c r="B123" s="7" t="str">
        <x:v>SD-037</x:v>
      </x:c>
      <x:c r="C123" s="7" t="str">
        <x:v>SD</x:v>
      </x:c>
      <x:c r="D123" s="7" t="str">
        <x:v>D</x:v>
      </x:c>
      <x:c r="E123" s="8" t="str">
        <x:v>杨翰鹏</x:v>
      </x:c>
      <x:c r="F123" s="10" t="str">
        <x:v>济南外国语学校</x:v>
      </x:c>
      <x:c r="G123" s="12" t="n">
        <x:f>SUM(H123:J123)+K123</x:f>
        <x:v>500</x:v>
      </x:c>
      <x:c r="H123" s="12" t="n">
        <x:v>100</x:v>
      </x:c>
      <x:c r="I123" s="12" t="n">
        <x:v>188</x:v>
      </x:c>
      <x:c r="J123" s="12" t="n">
        <x:v>212</x:v>
      </x:c>
      <x:c r="K123" s="12" t="n">
        <x:f>IF(D123="A",5,0)</x:f>
        <x:v>0</x:v>
      </x:c>
    </x:row>
    <x:row r="124" ht="30" customHeight="1">
      <x:c r="A124" s="11" t="n">
        <x:f>RANK.EQ(G124,$G$2:$G$523,0)</x:f>
        <x:v>123</x:v>
      </x:c>
      <x:c r="B124" s="7" t="str">
        <x:v>GD-007</x:v>
      </x:c>
      <x:c r="C124" s="7" t="str">
        <x:v>GD</x:v>
      </x:c>
      <x:c r="D124" s="7" t="str">
        <x:v>B</x:v>
      </x:c>
      <x:c r="E124" s="8" t="str">
        <x:v>王梓睿</x:v>
      </x:c>
      <x:c r="F124" s="10" t="str">
        <x:v>佛山市南海区石门中学</x:v>
      </x:c>
      <x:c r="G124" s="12" t="n">
        <x:f>SUM(H124:J124)+K124</x:f>
        <x:v>499</x:v>
      </x:c>
      <x:c r="H124" s="12" t="n">
        <x:v>100</x:v>
      </x:c>
      <x:c r="I124" s="12" t="n">
        <x:v>285</x:v>
      </x:c>
      <x:c r="J124" s="12" t="n">
        <x:v>114</x:v>
      </x:c>
      <x:c r="K124" s="12" t="n">
        <x:f>IF(D124="A",5,0)</x:f>
        <x:v>0</x:v>
      </x:c>
    </x:row>
    <x:row r="125" ht="30" customHeight="1">
      <x:c r="A125" s="11" t="n">
        <x:f>RANK.EQ(G125,$G$2:$G$523,0)</x:f>
        <x:v>123</x:v>
      </x:c>
      <x:c r="B125" s="7" t="str">
        <x:v>ZJ-046</x:v>
      </x:c>
      <x:c r="C125" s="7" t="str">
        <x:v>ZJ</x:v>
      </x:c>
      <x:c r="D125" s="7" t="str">
        <x:v>E</x:v>
      </x:c>
      <x:c r="E125" s="8" t="str">
        <x:v>贾治辰</x:v>
      </x:c>
      <x:c r="F125" s="10" t="str">
        <x:v>浙江省诸暨市海亮初级中学</x:v>
      </x:c>
      <x:c r="G125" s="12" t="n">
        <x:f>SUM(H125:J125)+K125</x:f>
        <x:v>499</x:v>
      </x:c>
      <x:c r="H125" s="12" t="n">
        <x:v>100</x:v>
      </x:c>
      <x:c r="I125" s="12" t="n">
        <x:v>203</x:v>
      </x:c>
      <x:c r="J125" s="12" t="n">
        <x:v>196</x:v>
      </x:c>
      <x:c r="K125" s="12" t="n">
        <x:f>IF(D125="A",5,0)</x:f>
        <x:v>0</x:v>
      </x:c>
    </x:row>
    <x:row r="126" ht="30" customHeight="1">
      <x:c r="A126" s="11" t="n">
        <x:f>RANK.EQ(G126,$G$2:$G$523,0)</x:f>
        <x:v>125</x:v>
      </x:c>
      <x:c r="B126" s="7" t="str">
        <x:v>BJ-036</x:v>
      </x:c>
      <x:c r="C126" s="7" t="str">
        <x:v>BJ</x:v>
      </x:c>
      <x:c r="D126" s="7" t="str">
        <x:v>D</x:v>
      </x:c>
      <x:c r="E126" s="8" t="str">
        <x:v>欧阳宗润</x:v>
      </x:c>
      <x:c r="F126" s="10" t="str">
        <x:v>中国人民大学附属中学</x:v>
      </x:c>
      <x:c r="G126" s="12" t="n">
        <x:f>SUM(H126:J126)+K126</x:f>
        <x:v>496</x:v>
      </x:c>
      <x:c r="H126" s="12" t="n">
        <x:v>100</x:v>
      </x:c>
      <x:c r="I126" s="12" t="n">
        <x:v>208</x:v>
      </x:c>
      <x:c r="J126" s="12" t="n">
        <x:v>188</x:v>
      </x:c>
      <x:c r="K126" s="12" t="n">
        <x:f>IF(D126="A",5,0)</x:f>
        <x:v>0</x:v>
      </x:c>
    </x:row>
    <x:row r="127" ht="30" customHeight="1">
      <x:c r="A127" s="11" t="n">
        <x:f>RANK.EQ(G127,$G$2:$G$523,0)</x:f>
        <x:v>125</x:v>
      </x:c>
      <x:c r="B127" s="7" t="str">
        <x:v>GD-027</x:v>
      </x:c>
      <x:c r="C127" s="7" t="str">
        <x:v>GD</x:v>
      </x:c>
      <x:c r="D127" s="7" t="str">
        <x:v>D</x:v>
      </x:c>
      <x:c r="E127" s="8" t="str">
        <x:v>杨佳熹</x:v>
      </x:c>
      <x:c r="F127" s="10" t="str">
        <x:v>中山市中山纪念中学</x:v>
      </x:c>
      <x:c r="G127" s="12" t="n">
        <x:f>SUM(H127:J127)+K127</x:f>
        <x:v>496</x:v>
      </x:c>
      <x:c r="H127" s="12" t="n">
        <x:v>100</x:v>
      </x:c>
      <x:c r="I127" s="12" t="n">
        <x:v>217</x:v>
      </x:c>
      <x:c r="J127" s="12" t="n">
        <x:v>179</x:v>
      </x:c>
      <x:c r="K127" s="12" t="n">
        <x:f>IF(D127="A",5,0)</x:f>
        <x:v>0</x:v>
      </x:c>
    </x:row>
    <x:row r="128" ht="30" customHeight="1">
      <x:c r="A128" s="11" t="n">
        <x:f>RANK.EQ(G128,$G$2:$G$523,0)</x:f>
        <x:v>127</x:v>
      </x:c>
      <x:c r="B128" s="7" t="str">
        <x:v>BJ-031</x:v>
      </x:c>
      <x:c r="C128" s="7" t="str">
        <x:v>BJ</x:v>
      </x:c>
      <x:c r="D128" s="7" t="str">
        <x:v>D</x:v>
      </x:c>
      <x:c r="E128" s="8" t="str">
        <x:v>杨瑾华</x:v>
      </x:c>
      <x:c r="F128" s="10" t="str">
        <x:v>北京市第八十中学</x:v>
      </x:c>
      <x:c r="G128" s="12" t="n">
        <x:f>SUM(H128:J128)+K128</x:f>
        <x:v>495</x:v>
      </x:c>
      <x:c r="H128" s="12" t="n">
        <x:v>100</x:v>
      </x:c>
      <x:c r="I128" s="12" t="n">
        <x:v>243</x:v>
      </x:c>
      <x:c r="J128" s="12" t="n">
        <x:v>152</x:v>
      </x:c>
      <x:c r="K128" s="12" t="n">
        <x:f>IF(D128="A",5,0)</x:f>
        <x:v>0</x:v>
      </x:c>
    </x:row>
    <x:row r="129" ht="30" customHeight="1">
      <x:c r="A129" s="11" t="n">
        <x:f>RANK.EQ(G129,$G$2:$G$523,0)</x:f>
        <x:v>127</x:v>
      </x:c>
      <x:c r="B129" s="7" t="str">
        <x:v>SC-001</x:v>
      </x:c>
      <x:c r="C129" s="7" t="str">
        <x:v>SC</x:v>
      </x:c>
      <x:c r="D129" s="7" t="str">
        <x:v>A</x:v>
      </x:c>
      <x:c r="E129" s="8" t="str">
        <x:v>程翊宸</x:v>
      </x:c>
      <x:c r="F129" s="10" t="str">
        <x:v>四川省成都市第七中学</x:v>
      </x:c>
      <x:c r="G129" s="12" t="n">
        <x:f>SUM(H129:J129)+K129</x:f>
        <x:v>495</x:v>
      </x:c>
      <x:c r="H129" s="12" t="n">
        <x:v>100</x:v>
      </x:c>
      <x:c r="I129" s="12" t="n">
        <x:v>254</x:v>
      </x:c>
      <x:c r="J129" s="12" t="n">
        <x:v>136</x:v>
      </x:c>
      <x:c r="K129" s="12" t="n">
        <x:f>IF(D129="A",5,0)</x:f>
        <x:v>5</x:v>
      </x:c>
    </x:row>
    <x:row r="130" ht="30" customHeight="1">
      <x:c r="A130" s="11" t="n">
        <x:f>RANK.EQ(G130,$G$2:$G$523,0)</x:f>
        <x:v>127</x:v>
      </x:c>
      <x:c r="B130" s="7" t="str">
        <x:v>SC-011</x:v>
      </x:c>
      <x:c r="C130" s="7" t="str">
        <x:v>SC</x:v>
      </x:c>
      <x:c r="D130" s="7" t="str">
        <x:v>B</x:v>
      </x:c>
      <x:c r="E130" s="8" t="str">
        <x:v>汪士恒</x:v>
      </x:c>
      <x:c r="F130" s="10" t="str">
        <x:v>成都市锦江区嘉祥外国语高级中学</x:v>
      </x:c>
      <x:c r="G130" s="12" t="n">
        <x:f>SUM(H130:J130)+K130</x:f>
        <x:v>495</x:v>
      </x:c>
      <x:c r="H130" s="12" t="n">
        <x:v>100</x:v>
      </x:c>
      <x:c r="I130" s="12" t="n">
        <x:v>203</x:v>
      </x:c>
      <x:c r="J130" s="12" t="n">
        <x:v>192</x:v>
      </x:c>
      <x:c r="K130" s="12" t="n">
        <x:f>IF(D130="A",5,0)</x:f>
        <x:v>0</x:v>
      </x:c>
    </x:row>
    <x:row r="131" ht="30" customHeight="1">
      <x:c r="A131" s="11" t="n">
        <x:f>RANK.EQ(G131,$G$2:$G$523,0)</x:f>
        <x:v>127</x:v>
      </x:c>
      <x:c r="B131" s="7" t="str">
        <x:v>SH-007</x:v>
      </x:c>
      <x:c r="C131" s="7" t="str">
        <x:v>SH</x:v>
      </x:c>
      <x:c r="D131" s="7" t="str">
        <x:v>B</x:v>
      </x:c>
      <x:c r="E131" s="8" t="str">
        <x:v>蒋周运</x:v>
      </x:c>
      <x:c r="F131" s="10" t="str">
        <x:v>上海市曹杨第二中学</x:v>
      </x:c>
      <x:c r="G131" s="12" t="n">
        <x:f>SUM(H131:J131)+K131</x:f>
        <x:v>495</x:v>
      </x:c>
      <x:c r="H131" s="12" t="n">
        <x:v>100</x:v>
      </x:c>
      <x:c r="I131" s="12" t="n">
        <x:v>213</x:v>
      </x:c>
      <x:c r="J131" s="12" t="n">
        <x:v>182</x:v>
      </x:c>
      <x:c r="K131" s="12" t="n">
        <x:f>IF(D131="A",5,0)</x:f>
        <x:v>0</x:v>
      </x:c>
    </x:row>
    <x:row r="132" ht="30" customHeight="1">
      <x:c r="A132" s="11" t="n">
        <x:f>RANK.EQ(G132,$G$2:$G$523,0)</x:f>
        <x:v>131</x:v>
      </x:c>
      <x:c r="B132" s="7" t="str">
        <x:v>BJ-027</x:v>
      </x:c>
      <x:c r="C132" s="7" t="str">
        <x:v>BJ</x:v>
      </x:c>
      <x:c r="D132" s="7" t="str">
        <x:v>D</x:v>
      </x:c>
      <x:c r="E132" s="8" t="str">
        <x:v>黄思源</x:v>
      </x:c>
      <x:c r="F132" s="10" t="str">
        <x:v>清华大学附属中学将台路校区</x:v>
      </x:c>
      <x:c r="G132" s="12" t="n">
        <x:f>SUM(H132:J132)+K132</x:f>
        <x:v>488</x:v>
      </x:c>
      <x:c r="H132" s="12" t="n">
        <x:v>100</x:v>
      </x:c>
      <x:c r="I132" s="12" t="n">
        <x:v>256</x:v>
      </x:c>
      <x:c r="J132" s="12" t="n">
        <x:v>132</x:v>
      </x:c>
      <x:c r="K132" s="12" t="n">
        <x:f>IF(D132="A",5,0)</x:f>
        <x:v>0</x:v>
      </x:c>
    </x:row>
    <x:row r="133" ht="30" customHeight="1">
      <x:c r="A133" s="11" t="n">
        <x:f>RANK.EQ(G133,$G$2:$G$523,0)</x:f>
        <x:v>131</x:v>
      </x:c>
      <x:c r="B133" s="7" t="str">
        <x:v>ZJ-020</x:v>
      </x:c>
      <x:c r="C133" s="7" t="str">
        <x:v>ZJ</x:v>
      </x:c>
      <x:c r="D133" s="7" t="str">
        <x:v>B</x:v>
      </x:c>
      <x:c r="E133" s="8" t="str">
        <x:v>金倬汉</x:v>
      </x:c>
      <x:c r="F133" s="10" t="str">
        <x:v>绍兴市第一中学</x:v>
      </x:c>
      <x:c r="G133" s="12" t="n">
        <x:f>SUM(H133:J133)+K133</x:f>
        <x:v>488</x:v>
      </x:c>
      <x:c r="H133" s="12" t="n">
        <x:v>100</x:v>
      </x:c>
      <x:c r="I133" s="12" t="n">
        <x:v>188</x:v>
      </x:c>
      <x:c r="J133" s="12" t="n">
        <x:v>200</x:v>
      </x:c>
      <x:c r="K133" s="12" t="n">
        <x:f>IF(D133="A",5,0)</x:f>
        <x:v>0</x:v>
      </x:c>
    </x:row>
    <x:row r="134" ht="30" customHeight="1">
      <x:c r="A134" s="11" t="n">
        <x:f>RANK.EQ(G134,$G$2:$G$523,0)</x:f>
        <x:v>133</x:v>
      </x:c>
      <x:c r="B134" s="7" t="str">
        <x:v>GD-010</x:v>
      </x:c>
      <x:c r="C134" s="7" t="str">
        <x:v>GD</x:v>
      </x:c>
      <x:c r="D134" s="7" t="str">
        <x:v>B</x:v>
      </x:c>
      <x:c r="E134" s="8" t="str">
        <x:v>李承翰</x:v>
      </x:c>
      <x:c r="F134" s="10" t="str">
        <x:v>华南师范大学附属中学</x:v>
      </x:c>
      <x:c r="G134" s="12" t="n">
        <x:f>SUM(H134:J134)+K134</x:f>
        <x:v>485</x:v>
      </x:c>
      <x:c r="H134" s="12" t="n">
        <x:v>99</x:v>
      </x:c>
      <x:c r="I134" s="12" t="n">
        <x:v>258</x:v>
      </x:c>
      <x:c r="J134" s="12" t="n">
        <x:v>128</x:v>
      </x:c>
      <x:c r="K134" s="12" t="n">
        <x:f>IF(D134="A",5,0)</x:f>
        <x:v>0</x:v>
      </x:c>
    </x:row>
    <x:row r="135" ht="30" customHeight="1">
      <x:c r="A135" s="11" t="n">
        <x:f>RANK.EQ(G135,$G$2:$G$523,0)</x:f>
        <x:v>134</x:v>
      </x:c>
      <x:c r="B135" s="7" t="str">
        <x:v>SD-020</x:v>
      </x:c>
      <x:c r="C135" s="7" t="str">
        <x:v>SD</x:v>
      </x:c>
      <x:c r="D135" s="7" t="str">
        <x:v>B</x:v>
      </x:c>
      <x:c r="E135" s="8" t="str">
        <x:v>栾延嘉</x:v>
      </x:c>
      <x:c r="F135" s="10" t="str">
        <x:v>山东省青岛第二中学</x:v>
      </x:c>
      <x:c r="G135" s="12" t="n">
        <x:f>SUM(H135:J135)+K135</x:f>
        <x:v>484</x:v>
      </x:c>
      <x:c r="H135" s="12" t="n">
        <x:v>100</x:v>
      </x:c>
      <x:c r="I135" s="12" t="n">
        <x:v>216</x:v>
      </x:c>
      <x:c r="J135" s="12" t="n">
        <x:v>168</x:v>
      </x:c>
      <x:c r="K135" s="12" t="n">
        <x:f>IF(D135="A",5,0)</x:f>
        <x:v>0</x:v>
      </x:c>
    </x:row>
    <x:row r="136" ht="30" customHeight="1">
      <x:c r="A136" s="11" t="n">
        <x:f>RANK.EQ(G136,$G$2:$G$523,0)</x:f>
        <x:v>135</x:v>
      </x:c>
      <x:c r="B136" s="7" t="str">
        <x:v>AH-006</x:v>
      </x:c>
      <x:c r="C136" s="7" t="str">
        <x:v>AH</x:v>
      </x:c>
      <x:c r="D136" s="7" t="str">
        <x:v>B</x:v>
      </x:c>
      <x:c r="E136" s="8" t="str">
        <x:v>张宗岳</x:v>
      </x:c>
      <x:c r="F136" s="10" t="str">
        <x:v>安徽师范大学附属中学</x:v>
      </x:c>
      <x:c r="G136" s="12" t="n">
        <x:f>SUM(H136:J136)+K136</x:f>
        <x:v>483</x:v>
      </x:c>
      <x:c r="H136" s="12" t="n">
        <x:v>100</x:v>
      </x:c>
      <x:c r="I136" s="12" t="n">
        <x:v>223</x:v>
      </x:c>
      <x:c r="J136" s="12" t="n">
        <x:v>160</x:v>
      </x:c>
      <x:c r="K136" s="12" t="n">
        <x:f>IF(D136="A",5,0)</x:f>
        <x:v>0</x:v>
      </x:c>
    </x:row>
    <x:row r="137" ht="30" customHeight="1">
      <x:c r="A137" s="11" t="n">
        <x:f>RANK.EQ(G137,$G$2:$G$523,0)</x:f>
        <x:v>135</x:v>
      </x:c>
      <x:c r="B137" s="7" t="str">
        <x:v>SH-006</x:v>
      </x:c>
      <x:c r="C137" s="7" t="str">
        <x:v>SH</x:v>
      </x:c>
      <x:c r="D137" s="7" t="str">
        <x:v>B</x:v>
      </x:c>
      <x:c r="E137" s="8" t="str">
        <x:v>袁悠瑞</x:v>
      </x:c>
      <x:c r="F137" s="10" t="str">
        <x:v>华东师范大学第二附属中学</x:v>
      </x:c>
      <x:c r="G137" s="12" t="n">
        <x:f>SUM(H137:J137)+K137</x:f>
        <x:v>483</x:v>
      </x:c>
      <x:c r="H137" s="12" t="n">
        <x:v>100</x:v>
      </x:c>
      <x:c r="I137" s="12" t="n">
        <x:v>243</x:v>
      </x:c>
      <x:c r="J137" s="12" t="n">
        <x:v>140</x:v>
      </x:c>
      <x:c r="K137" s="12" t="n">
        <x:f>IF(D137="A",5,0)</x:f>
        <x:v>0</x:v>
      </x:c>
    </x:row>
    <x:row r="138" ht="30" customHeight="1">
      <x:c r="A138" s="11" t="n">
        <x:f>RANK.EQ(G138,$G$2:$G$523,0)</x:f>
        <x:v>137</x:v>
      </x:c>
      <x:c r="B138" s="7" t="str">
        <x:v>ZJ-005</x:v>
      </x:c>
      <x:c r="C138" s="7" t="str">
        <x:v>ZJ</x:v>
      </x:c>
      <x:c r="D138" s="7" t="str">
        <x:v>A</x:v>
      </x:c>
      <x:c r="E138" s="8" t="str">
        <x:v>叶禹哲</x:v>
      </x:c>
      <x:c r="F138" s="10" t="str">
        <x:v>宁波市镇海中学</x:v>
      </x:c>
      <x:c r="G138" s="12" t="n">
        <x:f>SUM(H138:J138)+K138</x:f>
        <x:v>482</x:v>
      </x:c>
      <x:c r="H138" s="12" t="n">
        <x:v>100</x:v>
      </x:c>
      <x:c r="I138" s="12" t="n">
        <x:v>225</x:v>
      </x:c>
      <x:c r="J138" s="12" t="n">
        <x:v>152</x:v>
      </x:c>
      <x:c r="K138" s="12" t="n">
        <x:f>IF(D138="A",5,0)</x:f>
        <x:v>5</x:v>
      </x:c>
    </x:row>
    <x:row r="139" ht="30" customHeight="1">
      <x:c r="A139" s="11" t="n">
        <x:f>RANK.EQ(G139,$G$2:$G$523,0)</x:f>
        <x:v>138</x:v>
      </x:c>
      <x:c r="B139" s="7" t="str">
        <x:v>FJ-009</x:v>
      </x:c>
      <x:c r="C139" s="7" t="str">
        <x:v>FJ</x:v>
      </x:c>
      <x:c r="D139" s="7" t="str">
        <x:v>B</x:v>
      </x:c>
      <x:c r="E139" s="8" t="str">
        <x:v>陈麓屹</x:v>
      </x:c>
      <x:c r="F139" s="10" t="str">
        <x:v>福建省厦门双十中学</x:v>
      </x:c>
      <x:c r="G139" s="12" t="n">
        <x:f>SUM(H139:J139)+K139</x:f>
        <x:v>481</x:v>
      </x:c>
      <x:c r="H139" s="12" t="n">
        <x:v>100</x:v>
      </x:c>
      <x:c r="I139" s="12" t="n">
        <x:v>169</x:v>
      </x:c>
      <x:c r="J139" s="12" t="n">
        <x:v>212</x:v>
      </x:c>
      <x:c r="K139" s="12" t="n">
        <x:f>IF(D139="A",5,0)</x:f>
        <x:v>0</x:v>
      </x:c>
    </x:row>
    <x:row r="140" ht="30" customHeight="1">
      <x:c r="A140" s="11" t="n">
        <x:f>RANK.EQ(G140,$G$2:$G$523,0)</x:f>
        <x:v>138</x:v>
      </x:c>
      <x:c r="B140" s="7" t="str">
        <x:v>HB-010</x:v>
      </x:c>
      <x:c r="C140" s="7" t="str">
        <x:v>HB</x:v>
      </x:c>
      <x:c r="D140" s="7" t="str">
        <x:v>B</x:v>
      </x:c>
      <x:c r="E140" s="8" t="str">
        <x:v>易煦翔</x:v>
      </x:c>
      <x:c r="F140" s="10" t="str">
        <x:v>武汉外国语学校</x:v>
      </x:c>
      <x:c r="G140" s="12" t="n">
        <x:f>SUM(H140:J140)+K140</x:f>
        <x:v>481</x:v>
      </x:c>
      <x:c r="H140" s="12" t="n">
        <x:v>100</x:v>
      </x:c>
      <x:c r="I140" s="12" t="n">
        <x:v>221</x:v>
      </x:c>
      <x:c r="J140" s="12" t="n">
        <x:v>160</x:v>
      </x:c>
      <x:c r="K140" s="12" t="n">
        <x:f>IF(D140="A",5,0)</x:f>
        <x:v>0</x:v>
      </x:c>
    </x:row>
    <x:row r="141" ht="30" customHeight="1">
      <x:c r="A141" s="11" t="n">
        <x:f>RANK.EQ(G141,$G$2:$G$523,0)</x:f>
        <x:v>140</x:v>
      </x:c>
      <x:c r="B141" s="7" t="str">
        <x:v>BJ-008</x:v>
      </x:c>
      <x:c r="C141" s="7" t="str">
        <x:v>BJ</x:v>
      </x:c>
      <x:c r="D141" s="7" t="str">
        <x:v>B</x:v>
      </x:c>
      <x:c r="E141" s="8" t="str">
        <x:v>陈一苇</x:v>
      </x:c>
      <x:c r="F141" s="10" t="str">
        <x:v>北京大学附属中学</x:v>
      </x:c>
      <x:c r="G141" s="12" t="n">
        <x:f>SUM(H141:J141)+K141</x:f>
        <x:v>479</x:v>
      </x:c>
      <x:c r="H141" s="12" t="n">
        <x:v>100</x:v>
      </x:c>
      <x:c r="I141" s="12" t="n">
        <x:v>219</x:v>
      </x:c>
      <x:c r="J141" s="12" t="n">
        <x:v>160</x:v>
      </x:c>
      <x:c r="K141" s="12" t="n">
        <x:f>IF(D141="A",5,0)</x:f>
        <x:v>0</x:v>
      </x:c>
    </x:row>
    <x:row r="142" ht="30" customHeight="1">
      <x:c r="A142" s="11" t="n">
        <x:f>RANK.EQ(G142,$G$2:$G$523,0)</x:f>
        <x:v>141</x:v>
      </x:c>
      <x:c r="B142" s="7" t="str">
        <x:v>HN-020</x:v>
      </x:c>
      <x:c r="C142" s="7" t="str">
        <x:v>HN</x:v>
      </x:c>
      <x:c r="D142" s="7" t="str">
        <x:v>D</x:v>
      </x:c>
      <x:c r="E142" s="8" t="str">
        <x:v>陈彦汐</x:v>
      </x:c>
      <x:c r="F142" s="10" t="str">
        <x:v>长沙市中雅培粹学校</x:v>
      </x:c>
      <x:c r="G142" s="12" t="n">
        <x:f>SUM(H142:J142)+K142</x:f>
        <x:v>477</x:v>
      </x:c>
      <x:c r="H142" s="12" t="n">
        <x:v>100</x:v>
      </x:c>
      <x:c r="I142" s="12" t="n">
        <x:v>205</x:v>
      </x:c>
      <x:c r="J142" s="12" t="n">
        <x:v>172</x:v>
      </x:c>
      <x:c r="K142" s="12" t="n">
        <x:f>IF(D142="A",5,0)</x:f>
        <x:v>0</x:v>
      </x:c>
    </x:row>
    <x:row r="143" ht="30" customHeight="1">
      <x:c r="A143" s="11" t="n">
        <x:f>RANK.EQ(G143,$G$2:$G$523,0)</x:f>
        <x:v>142</x:v>
      </x:c>
      <x:c r="B143" s="7" t="str">
        <x:v>SH-016</x:v>
      </x:c>
      <x:c r="C143" s="7" t="str">
        <x:v>SH</x:v>
      </x:c>
      <x:c r="D143" s="7" t="str">
        <x:v>D</x:v>
      </x:c>
      <x:c r="E143" s="8" t="str">
        <x:v>顾浩宸</x:v>
      </x:c>
      <x:c r="F143" s="10" t="str">
        <x:v>华东师范大学第二附属中学</x:v>
      </x:c>
      <x:c r="G143" s="12" t="n">
        <x:f>SUM(H143:J143)+K143</x:f>
        <x:v>476</x:v>
      </x:c>
      <x:c r="H143" s="12" t="n">
        <x:v>100</x:v>
      </x:c>
      <x:c r="I143" s="12" t="n">
        <x:v>176</x:v>
      </x:c>
      <x:c r="J143" s="12" t="n">
        <x:v>200</x:v>
      </x:c>
      <x:c r="K143" s="12" t="n">
        <x:f>IF(D143="A",5,0)</x:f>
        <x:v>0</x:v>
      </x:c>
    </x:row>
    <x:row r="144" ht="30" customHeight="1">
      <x:c r="A144" s="11" t="n">
        <x:f>RANK.EQ(G144,$G$2:$G$523,0)</x:f>
        <x:v>143</x:v>
      </x:c>
      <x:c r="B144" s="7" t="str">
        <x:v>JL-002</x:v>
      </x:c>
      <x:c r="C144" s="7" t="str">
        <x:v>JL</x:v>
      </x:c>
      <x:c r="D144" s="7" t="str">
        <x:v>A</x:v>
      </x:c>
      <x:c r="E144" s="8" t="str">
        <x:v>高乃严</x:v>
      </x:c>
      <x:c r="F144" s="10" t="str">
        <x:v>东北师范大学附属中学</x:v>
      </x:c>
      <x:c r="G144" s="12" t="n">
        <x:f>SUM(H144:J144)+K144</x:f>
        <x:v>472</x:v>
      </x:c>
      <x:c r="H144" s="12" t="n">
        <x:v>100</x:v>
      </x:c>
      <x:c r="I144" s="12" t="n">
        <x:v>252</x:v>
      </x:c>
      <x:c r="J144" s="12" t="n">
        <x:v>115</x:v>
      </x:c>
      <x:c r="K144" s="12" t="n">
        <x:f>IF(D144="A",5,0)</x:f>
        <x:v>5</x:v>
      </x:c>
    </x:row>
    <x:row r="145" ht="30" customHeight="1">
      <x:c r="A145" s="11" t="n">
        <x:f>RANK.EQ(G145,$G$2:$G$523,0)</x:f>
        <x:v>144</x:v>
      </x:c>
      <x:c r="B145" s="7" t="str">
        <x:v>FJ-025</x:v>
      </x:c>
      <x:c r="C145" s="7" t="str">
        <x:v>FJ</x:v>
      </x:c>
      <x:c r="D145" s="7" t="str">
        <x:v>D</x:v>
      </x:c>
      <x:c r="E145" s="8" t="str">
        <x:v>姚天雨</x:v>
      </x:c>
      <x:c r="F145" s="10" t="str">
        <x:v>福建省福州第三中学</x:v>
      </x:c>
      <x:c r="G145" s="12" t="n">
        <x:f>SUM(H145:J145)+K145</x:f>
        <x:v>471</x:v>
      </x:c>
      <x:c r="H145" s="12" t="n">
        <x:v>100</x:v>
      </x:c>
      <x:c r="I145" s="12" t="n">
        <x:v>247</x:v>
      </x:c>
      <x:c r="J145" s="12" t="n">
        <x:v>124</x:v>
      </x:c>
      <x:c r="K145" s="12" t="n">
        <x:f>IF(D145="A",5,0)</x:f>
        <x:v>0</x:v>
      </x:c>
    </x:row>
    <x:row r="146" ht="30" customHeight="1">
      <x:c r="A146" s="11" t="n">
        <x:f>RANK.EQ(G146,$G$2:$G$523,0)</x:f>
        <x:v>145</x:v>
      </x:c>
      <x:c r="B146" s="7" t="str">
        <x:v>BJ-028</x:v>
      </x:c>
      <x:c r="C146" s="7" t="str">
        <x:v>BJ</x:v>
      </x:c>
      <x:c r="D146" s="7" t="str">
        <x:v>D</x:v>
      </x:c>
      <x:c r="E146" s="8" t="str">
        <x:v>林致远</x:v>
      </x:c>
      <x:c r="F146" s="10" t="str">
        <x:v>清华大学附属中学</x:v>
      </x:c>
      <x:c r="G146" s="12" t="n">
        <x:f>SUM(H146:J146)+K146</x:f>
        <x:v>470</x:v>
      </x:c>
      <x:c r="H146" s="12" t="n">
        <x:v>100</x:v>
      </x:c>
      <x:c r="I146" s="12" t="n">
        <x:v>242</x:v>
      </x:c>
      <x:c r="J146" s="12" t="n">
        <x:v>128</x:v>
      </x:c>
      <x:c r="K146" s="12" t="n">
        <x:f>IF(D146="A",5,0)</x:f>
        <x:v>0</x:v>
      </x:c>
    </x:row>
    <x:row r="147" ht="30" customHeight="1">
      <x:c r="A147" s="11" t="n">
        <x:f>RANK.EQ(G147,$G$2:$G$523,0)</x:f>
        <x:v>145</x:v>
      </x:c>
      <x:c r="B147" s="7" t="str">
        <x:v>SC-005</x:v>
      </x:c>
      <x:c r="C147" s="7" t="str">
        <x:v>SC</x:v>
      </x:c>
      <x:c r="D147" s="7" t="str">
        <x:v>A</x:v>
      </x:c>
      <x:c r="E147" s="8" t="str">
        <x:v>张子佩</x:v>
      </x:c>
      <x:c r="F147" s="10" t="str">
        <x:v>成都市锦江区嘉祥外国语高级中学</x:v>
      </x:c>
      <x:c r="G147" s="12" t="n">
        <x:f>SUM(H147:J147)+K147</x:f>
        <x:v>470</x:v>
      </x:c>
      <x:c r="H147" s="12" t="n">
        <x:v>99</x:v>
      </x:c>
      <x:c r="I147" s="12" t="n">
        <x:v>222</x:v>
      </x:c>
      <x:c r="J147" s="12" t="n">
        <x:v>144</x:v>
      </x:c>
      <x:c r="K147" s="12" t="n">
        <x:f>IF(D147="A",5,0)</x:f>
        <x:v>5</x:v>
      </x:c>
    </x:row>
    <x:row r="148" ht="30" customHeight="1">
      <x:c r="A148" s="11" t="n">
        <x:f>RANK.EQ(G148,$G$2:$G$523,0)</x:f>
        <x:v>145</x:v>
      </x:c>
      <x:c r="B148" s="7" t="str">
        <x:v>SC-025</x:v>
      </x:c>
      <x:c r="C148" s="7" t="str">
        <x:v>SC</x:v>
      </x:c>
      <x:c r="D148" s="7" t="str">
        <x:v>D</x:v>
      </x:c>
      <x:c r="E148" s="8" t="str">
        <x:v>章正瀚</x:v>
      </x:c>
      <x:c r="F148" s="10" t="str">
        <x:v>成都市锦江区嘉祥外国语学校</x:v>
      </x:c>
      <x:c r="G148" s="12" t="n">
        <x:f>SUM(H148:J148)+K148</x:f>
        <x:v>470</x:v>
      </x:c>
      <x:c r="H148" s="12" t="n">
        <x:v>100</x:v>
      </x:c>
      <x:c r="I148" s="12" t="n">
        <x:v>257</x:v>
      </x:c>
      <x:c r="J148" s="12" t="n">
        <x:v>113</x:v>
      </x:c>
      <x:c r="K148" s="12" t="n">
        <x:f>IF(D148="A",5,0)</x:f>
        <x:v>0</x:v>
      </x:c>
    </x:row>
    <x:row r="149" ht="30" customHeight="1">
      <x:c r="A149" s="11" t="n">
        <x:f>RANK.EQ(G149,$G$2:$G$523,0)</x:f>
        <x:v>148</x:v>
      </x:c>
      <x:c r="B149" s="7" t="str">
        <x:v>CQ-013</x:v>
      </x:c>
      <x:c r="C149" s="7" t="str">
        <x:v>CQ</x:v>
      </x:c>
      <x:c r="D149" s="7" t="str">
        <x:v>B</x:v>
      </x:c>
      <x:c r="E149" s="8" t="str">
        <x:v>周琛乔</x:v>
      </x:c>
      <x:c r="F149" s="10" t="str">
        <x:v>重庆市育才中学校</x:v>
      </x:c>
      <x:c r="G149" s="12" t="n">
        <x:f>SUM(H149:J149)+K149</x:f>
        <x:v>467</x:v>
      </x:c>
      <x:c r="H149" s="12" t="n">
        <x:v>100</x:v>
      </x:c>
      <x:c r="I149" s="12" t="n">
        <x:v>231</x:v>
      </x:c>
      <x:c r="J149" s="12" t="n">
        <x:v>136</x:v>
      </x:c>
      <x:c r="K149" s="12" t="n">
        <x:f>IF(D149="A",5,0)</x:f>
        <x:v>0</x:v>
      </x:c>
    </x:row>
    <x:row r="150" ht="30" customHeight="1">
      <x:c r="A150" s="11" t="n">
        <x:f>RANK.EQ(G150,$G$2:$G$523,0)</x:f>
        <x:v>148</x:v>
      </x:c>
      <x:c r="B150" s="7" t="str">
        <x:v>FJ-013</x:v>
      </x:c>
      <x:c r="C150" s="7" t="str">
        <x:v>FJ</x:v>
      </x:c>
      <x:c r="D150" s="7" t="str">
        <x:v>B</x:v>
      </x:c>
      <x:c r="E150" s="8" t="str">
        <x:v>郑锦翼</x:v>
      </x:c>
      <x:c r="F150" s="10" t="str">
        <x:v>福建省福州第三中学</x:v>
      </x:c>
      <x:c r="G150" s="12" t="n">
        <x:f>SUM(H150:J150)+K150</x:f>
        <x:v>467</x:v>
      </x:c>
      <x:c r="H150" s="12" t="n">
        <x:v>100</x:v>
      </x:c>
      <x:c r="I150" s="12" t="n">
        <x:v>223</x:v>
      </x:c>
      <x:c r="J150" s="12" t="n">
        <x:v>144</x:v>
      </x:c>
      <x:c r="K150" s="12" t="n">
        <x:f>IF(D150="A",5,0)</x:f>
        <x:v>0</x:v>
      </x:c>
    </x:row>
    <x:row r="151" ht="30" customHeight="1">
      <x:c r="A151" s="11" t="n">
        <x:f>RANK.EQ(G151,$G$2:$G$523,0)</x:f>
        <x:v>148</x:v>
      </x:c>
      <x:c r="B151" s="7" t="str">
        <x:v>HB-008</x:v>
      </x:c>
      <x:c r="C151" s="7" t="str">
        <x:v>HB</x:v>
      </x:c>
      <x:c r="D151" s="7" t="str">
        <x:v>B</x:v>
      </x:c>
      <x:c r="E151" s="8" t="str">
        <x:v>林安臣</x:v>
      </x:c>
      <x:c r="F151" s="10" t="str">
        <x:v>武汉外国语学校</x:v>
      </x:c>
      <x:c r="G151" s="12" t="n">
        <x:f>SUM(H151:J151)+K151</x:f>
        <x:v>467</x:v>
      </x:c>
      <x:c r="H151" s="12" t="n">
        <x:v>100</x:v>
      </x:c>
      <x:c r="I151" s="12" t="n">
        <x:v>211</x:v>
      </x:c>
      <x:c r="J151" s="12" t="n">
        <x:v>156</x:v>
      </x:c>
      <x:c r="K151" s="12" t="n">
        <x:f>IF(D151="A",5,0)</x:f>
        <x:v>0</x:v>
      </x:c>
    </x:row>
    <x:row r="152" ht="30" customHeight="1">
      <x:c r="A152" s="11" t="n">
        <x:f>RANK.EQ(G152,$G$2:$G$523,0)</x:f>
        <x:v>151</x:v>
      </x:c>
      <x:c r="B152" s="7" t="str">
        <x:v>GZ-001</x:v>
      </x:c>
      <x:c r="C152" s="7" t="str">
        <x:v>GZ</x:v>
      </x:c>
      <x:c r="D152" s="7" t="str">
        <x:v>A</x:v>
      </x:c>
      <x:c r="E152" s="8" t="str">
        <x:v>王爔</x:v>
      </x:c>
      <x:c r="F152" s="10" t="str">
        <x:v>贵阳市华师一学校</x:v>
      </x:c>
      <x:c r="G152" s="12" t="n">
        <x:f>SUM(H152:J152)+K152</x:f>
        <x:v>466</x:v>
      </x:c>
      <x:c r="H152" s="12" t="n">
        <x:v>100</x:v>
      </x:c>
      <x:c r="I152" s="12" t="n">
        <x:v>241</x:v>
      </x:c>
      <x:c r="J152" s="12" t="n">
        <x:v>120</x:v>
      </x:c>
      <x:c r="K152" s="12" t="n">
        <x:f>IF(D152="A",5,0)</x:f>
        <x:v>5</x:v>
      </x:c>
    </x:row>
    <x:row r="153" ht="30" customHeight="1">
      <x:c r="A153" s="11" t="n">
        <x:f>RANK.EQ(G153,$G$2:$G$523,0)</x:f>
        <x:v>152</x:v>
      </x:c>
      <x:c r="B153" s="7" t="str">
        <x:v>HE-005</x:v>
      </x:c>
      <x:c r="C153" s="7" t="str">
        <x:v>HE</x:v>
      </x:c>
      <x:c r="D153" s="7" t="str">
        <x:v>A</x:v>
      </x:c>
      <x:c r="E153" s="8" t="str">
        <x:v>安庆钊</x:v>
      </x:c>
      <x:c r="F153" s="10" t="str">
        <x:v>石家庄二中实验学校</x:v>
      </x:c>
      <x:c r="G153" s="12" t="n">
        <x:f>SUM(H153:J153)+K153</x:f>
        <x:v>465</x:v>
      </x:c>
      <x:c r="H153" s="12" t="n">
        <x:v>100</x:v>
      </x:c>
      <x:c r="I153" s="12" t="n">
        <x:v>216</x:v>
      </x:c>
      <x:c r="J153" s="12" t="n">
        <x:v>144</x:v>
      </x:c>
      <x:c r="K153" s="12" t="n">
        <x:f>IF(D153="A",5,0)</x:f>
        <x:v>5</x:v>
      </x:c>
    </x:row>
    <x:row r="154" ht="30" customHeight="1">
      <x:c r="A154" s="11" t="n">
        <x:f>RANK.EQ(G154,$G$2:$G$523,0)</x:f>
        <x:v>152</x:v>
      </x:c>
      <x:c r="B154" s="7" t="str">
        <x:v>SN-001</x:v>
      </x:c>
      <x:c r="C154" s="7" t="str">
        <x:v>SN</x:v>
      </x:c>
      <x:c r="D154" s="7" t="str">
        <x:v>A</x:v>
      </x:c>
      <x:c r="E154" s="8" t="str">
        <x:v>李倏嘉</x:v>
      </x:c>
      <x:c r="F154" s="10" t="str">
        <x:v>西安铁一中国际合作学校</x:v>
      </x:c>
      <x:c r="G154" s="12" t="n">
        <x:f>SUM(H154:J154)+K154</x:f>
        <x:v>465</x:v>
      </x:c>
      <x:c r="H154" s="12" t="n">
        <x:v>100</x:v>
      </x:c>
      <x:c r="I154" s="12" t="n">
        <x:v>216</x:v>
      </x:c>
      <x:c r="J154" s="12" t="n">
        <x:v>144</x:v>
      </x:c>
      <x:c r="K154" s="12" t="n">
        <x:f>IF(D154="A",5,0)</x:f>
        <x:v>5</x:v>
      </x:c>
    </x:row>
    <x:row r="155" ht="30" customHeight="1">
      <x:c r="A155" s="11" t="n">
        <x:f>RANK.EQ(G155,$G$2:$G$523,0)</x:f>
        <x:v>154</x:v>
      </x:c>
      <x:c r="B155" s="7" t="str">
        <x:v>BJ-006</x:v>
      </x:c>
      <x:c r="C155" s="7" t="str">
        <x:v>BJ</x:v>
      </x:c>
      <x:c r="D155" s="7" t="str">
        <x:v>B</x:v>
      </x:c>
      <x:c r="E155" s="8" t="str">
        <x:v>方铨铎</x:v>
      </x:c>
      <x:c r="F155" s="10" t="str">
        <x:v>北京市十一学校</x:v>
      </x:c>
      <x:c r="G155" s="12" t="n">
        <x:f>SUM(H155:J155)+K155</x:f>
        <x:v>464</x:v>
      </x:c>
      <x:c r="H155" s="12" t="n">
        <x:v>100</x:v>
      </x:c>
      <x:c r="I155" s="12" t="n">
        <x:v>216</x:v>
      </x:c>
      <x:c r="J155" s="12" t="n">
        <x:v>148</x:v>
      </x:c>
      <x:c r="K155" s="12" t="n">
        <x:f>IF(D155="A",5,0)</x:f>
        <x:v>0</x:v>
      </x:c>
    </x:row>
    <x:row r="156" ht="30" customHeight="1">
      <x:c r="A156" s="11" t="n">
        <x:f>RANK.EQ(G156,$G$2:$G$523,0)</x:f>
        <x:v>154</x:v>
      </x:c>
      <x:c r="B156" s="7" t="str">
        <x:v>GD-006</x:v>
      </x:c>
      <x:c r="C156" s="7" t="str">
        <x:v>GD</x:v>
      </x:c>
      <x:c r="D156" s="7" t="str">
        <x:v>B</x:v>
      </x:c>
      <x:c r="E156" s="8" t="str">
        <x:v>涂竣博</x:v>
      </x:c>
      <x:c r="F156" s="10" t="str">
        <x:v>深圳市耀华实验学校</x:v>
      </x:c>
      <x:c r="G156" s="12" t="n">
        <x:f>SUM(H156:J156)+K156</x:f>
        <x:v>464</x:v>
      </x:c>
      <x:c r="H156" s="12" t="n">
        <x:v>100</x:v>
      </x:c>
      <x:c r="I156" s="12" t="n">
        <x:v>196</x:v>
      </x:c>
      <x:c r="J156" s="12" t="n">
        <x:v>168</x:v>
      </x:c>
      <x:c r="K156" s="12" t="n">
        <x:f>IF(D156="A",5,0)</x:f>
        <x:v>0</x:v>
      </x:c>
    </x:row>
    <x:row r="157" ht="30" customHeight="1">
      <x:c r="A157" s="11" t="n">
        <x:f>RANK.EQ(G157,$G$2:$G$523,0)</x:f>
        <x:v>154</x:v>
      </x:c>
      <x:c r="B157" s="7" t="str">
        <x:v>ZJ-034</x:v>
      </x:c>
      <x:c r="C157" s="7" t="str">
        <x:v>ZJ</x:v>
      </x:c>
      <x:c r="D157" s="7" t="str">
        <x:v>D</x:v>
      </x:c>
      <x:c r="E157" s="8" t="str">
        <x:v>韦添译</x:v>
      </x:c>
      <x:c r="F157" s="10" t="str">
        <x:v>杭州育才中学</x:v>
      </x:c>
      <x:c r="G157" s="12" t="n">
        <x:f>SUM(H157:J157)+K157</x:f>
        <x:v>464</x:v>
      </x:c>
      <x:c r="H157" s="12" t="n">
        <x:v>100</x:v>
      </x:c>
      <x:c r="I157" s="12" t="n">
        <x:v>216</x:v>
      </x:c>
      <x:c r="J157" s="12" t="n">
        <x:v>148</x:v>
      </x:c>
      <x:c r="K157" s="12" t="n">
        <x:f>IF(D157="A",5,0)</x:f>
        <x:v>0</x:v>
      </x:c>
    </x:row>
    <x:row r="158" ht="30" customHeight="1">
      <x:c r="A158" s="11" t="n">
        <x:f>RANK.EQ(G158,$G$2:$G$523,0)</x:f>
        <x:v>157</x:v>
      </x:c>
      <x:c r="B158" s="7" t="str">
        <x:v>HE-003</x:v>
      </x:c>
      <x:c r="C158" s="7" t="str">
        <x:v>HE</x:v>
      </x:c>
      <x:c r="D158" s="7" t="str">
        <x:v>A</x:v>
      </x:c>
      <x:c r="E158" s="8" t="str">
        <x:v>范小冉</x:v>
      </x:c>
      <x:c r="F158" s="10" t="str">
        <x:v>唐山市第一中学</x:v>
      </x:c>
      <x:c r="G158" s="12" t="n">
        <x:f>SUM(H158:J158)+K158</x:f>
        <x:v>462</x:v>
      </x:c>
      <x:c r="H158" s="12" t="n">
        <x:v>100</x:v>
      </x:c>
      <x:c r="I158" s="12" t="n">
        <x:v>225</x:v>
      </x:c>
      <x:c r="J158" s="12" t="n">
        <x:v>132</x:v>
      </x:c>
      <x:c r="K158" s="12" t="n">
        <x:f>IF(D158="A",5,0)</x:f>
        <x:v>5</x:v>
      </x:c>
    </x:row>
    <x:row r="159" ht="30" customHeight="1">
      <x:c r="A159" s="11" t="n">
        <x:f>RANK.EQ(G159,$G$2:$G$523,0)</x:f>
        <x:v>158</x:v>
      </x:c>
      <x:c r="B159" s="7" t="str">
        <x:v>CQ-011</x:v>
      </x:c>
      <x:c r="C159" s="7" t="str">
        <x:v>CQ</x:v>
      </x:c>
      <x:c r="D159" s="7" t="str">
        <x:v>B</x:v>
      </x:c>
      <x:c r="E159" s="8" t="str">
        <x:v>谢夫汉</x:v>
      </x:c>
      <x:c r="F159" s="10" t="str">
        <x:v>重庆市南开中学校</x:v>
      </x:c>
      <x:c r="G159" s="12" t="n">
        <x:f>SUM(H159:J159)+K159</x:f>
        <x:v>461</x:v>
      </x:c>
      <x:c r="H159" s="12" t="n">
        <x:v>100</x:v>
      </x:c>
      <x:c r="I159" s="12" t="n">
        <x:v>161</x:v>
      </x:c>
      <x:c r="J159" s="12" t="n">
        <x:v>200</x:v>
      </x:c>
      <x:c r="K159" s="12" t="n">
        <x:f>IF(D159="A",5,0)</x:f>
        <x:v>0</x:v>
      </x:c>
    </x:row>
    <x:row r="160" ht="30" customHeight="1">
      <x:c r="A160" s="11" t="n">
        <x:f>RANK.EQ(G160,$G$2:$G$523,0)</x:f>
        <x:v>158</x:v>
      </x:c>
      <x:c r="B160" s="7" t="str">
        <x:v>HL-002</x:v>
      </x:c>
      <x:c r="C160" s="7" t="str">
        <x:v>HL</x:v>
      </x:c>
      <x:c r="D160" s="7" t="str">
        <x:v>A</x:v>
      </x:c>
      <x:c r="E160" s="8" t="str">
        <x:v>杜宇轩</x:v>
      </x:c>
      <x:c r="F160" s="10" t="str">
        <x:v>哈尔滨市第三中学校</x:v>
      </x:c>
      <x:c r="G160" s="12" t="n">
        <x:f>SUM(H160:J160)+K160</x:f>
        <x:v>461</x:v>
      </x:c>
      <x:c r="H160" s="12" t="n">
        <x:v>100</x:v>
      </x:c>
      <x:c r="I160" s="12" t="n">
        <x:v>184</x:v>
      </x:c>
      <x:c r="J160" s="12" t="n">
        <x:v>172</x:v>
      </x:c>
      <x:c r="K160" s="12" t="n">
        <x:f>IF(D160="A",5,0)</x:f>
        <x:v>5</x:v>
      </x:c>
    </x:row>
    <x:row r="161" ht="30" customHeight="1">
      <x:c r="A161" s="11" t="n">
        <x:f>RANK.EQ(G161,$G$2:$G$523,0)</x:f>
        <x:v>158</x:v>
      </x:c>
      <x:c r="B161" s="7" t="str">
        <x:v>HN-009</x:v>
      </x:c>
      <x:c r="C161" s="7" t="str">
        <x:v>HN</x:v>
      </x:c>
      <x:c r="D161" s="7" t="str">
        <x:v>B</x:v>
      </x:c>
      <x:c r="E161" s="8" t="str">
        <x:v>柳子奥</x:v>
      </x:c>
      <x:c r="F161" s="10" t="str">
        <x:v>长沙市雅礼中学</x:v>
      </x:c>
      <x:c r="G161" s="12" t="n">
        <x:f>SUM(H161:J161)+K161</x:f>
        <x:v>461</x:v>
      </x:c>
      <x:c r="H161" s="12" t="n">
        <x:v>100</x:v>
      </x:c>
      <x:c r="I161" s="12" t="n">
        <x:v>237</x:v>
      </x:c>
      <x:c r="J161" s="12" t="n">
        <x:v>124</x:v>
      </x:c>
      <x:c r="K161" s="12" t="n">
        <x:f>IF(D161="A",5,0)</x:f>
        <x:v>0</x:v>
      </x:c>
    </x:row>
    <x:row r="162" ht="30" customHeight="1">
      <x:c r="A162" s="11" t="n">
        <x:f>RANK.EQ(G162,$G$2:$G$523,0)</x:f>
        <x:v>161</x:v>
      </x:c>
      <x:c r="B162" s="7" t="str">
        <x:v>BJ-014</x:v>
      </x:c>
      <x:c r="C162" s="7" t="str">
        <x:v>BJ</x:v>
      </x:c>
      <x:c r="D162" s="7" t="str">
        <x:v>B</x:v>
      </x:c>
      <x:c r="E162" s="8" t="str">
        <x:v>姜博翰</x:v>
      </x:c>
      <x:c r="F162" s="10" t="str">
        <x:v>北京亦庄实验中学</x:v>
      </x:c>
      <x:c r="G162" s="12" t="n">
        <x:f>SUM(H162:J162)+K162</x:f>
        <x:v>458</x:v>
      </x:c>
      <x:c r="H162" s="12" t="n">
        <x:v>100</x:v>
      </x:c>
      <x:c r="I162" s="12" t="n">
        <x:v>198</x:v>
      </x:c>
      <x:c r="J162" s="12" t="n">
        <x:v>160</x:v>
      </x:c>
      <x:c r="K162" s="12" t="n">
        <x:f>IF(D162="A",5,0)</x:f>
        <x:v>0</x:v>
      </x:c>
    </x:row>
    <x:row r="163" ht="30" customHeight="1">
      <x:c r="A163" s="11" t="n">
        <x:f>RANK.EQ(G163,$G$2:$G$523,0)</x:f>
        <x:v>162</x:v>
      </x:c>
      <x:c r="B163" s="7" t="str">
        <x:v>SH-021</x:v>
      </x:c>
      <x:c r="C163" s="7" t="str">
        <x:v>SH</x:v>
      </x:c>
      <x:c r="D163" s="7" t="str">
        <x:v>D</x:v>
      </x:c>
      <x:c r="E163" s="8" t="str">
        <x:v>郑逸楠</x:v>
      </x:c>
      <x:c r="F163" s="10" t="str">
        <x:v>上海市民办华育中学</x:v>
      </x:c>
      <x:c r="G163" s="12" t="n">
        <x:f>SUM(H163:J163)+K163</x:f>
        <x:v>457</x:v>
      </x:c>
      <x:c r="H163" s="12" t="n">
        <x:v>100</x:v>
      </x:c>
      <x:c r="I163" s="12" t="n">
        <x:v>237</x:v>
      </x:c>
      <x:c r="J163" s="12" t="n">
        <x:v>120</x:v>
      </x:c>
      <x:c r="K163" s="12" t="n">
        <x:f>IF(D163="A",5,0)</x:f>
        <x:v>0</x:v>
      </x:c>
    </x:row>
    <x:row r="164" ht="30" customHeight="1">
      <x:c r="A164" s="11" t="n">
        <x:f>RANK.EQ(G164,$G$2:$G$523,0)</x:f>
        <x:v>162</x:v>
      </x:c>
      <x:c r="B164" s="7" t="str">
        <x:v>ZJ-012</x:v>
      </x:c>
      <x:c r="C164" s="7" t="str">
        <x:v>ZJ</x:v>
      </x:c>
      <x:c r="D164" s="7" t="str">
        <x:v>B</x:v>
      </x:c>
      <x:c r="E164" s="8" t="str">
        <x:v>潘宏轩</x:v>
      </x:c>
      <x:c r="F164" s="10" t="str">
        <x:v>浙江金华第一中学</x:v>
      </x:c>
      <x:c r="G164" s="12" t="n">
        <x:f>SUM(H164:J164)+K164</x:f>
        <x:v>457</x:v>
      </x:c>
      <x:c r="H164" s="12" t="n">
        <x:v>100</x:v>
      </x:c>
      <x:c r="I164" s="12" t="n">
        <x:v>225</x:v>
      </x:c>
      <x:c r="J164" s="12" t="n">
        <x:v>132</x:v>
      </x:c>
      <x:c r="K164" s="12" t="n">
        <x:f>IF(D164="A",5,0)</x:f>
        <x:v>0</x:v>
      </x:c>
    </x:row>
    <x:row r="165" ht="30" customHeight="1">
      <x:c r="A165" s="11" t="n">
        <x:f>RANK.EQ(G165,$G$2:$G$523,0)</x:f>
        <x:v>162</x:v>
      </x:c>
      <x:c r="B165" s="7" t="str">
        <x:v>ZJ-041</x:v>
      </x:c>
      <x:c r="C165" s="7" t="str">
        <x:v>ZJ</x:v>
      </x:c>
      <x:c r="D165" s="7" t="str">
        <x:v>D</x:v>
      </x:c>
      <x:c r="E165" s="8" t="str">
        <x:v>张杨盛</x:v>
      </x:c>
      <x:c r="F165" s="10" t="str">
        <x:v>浙江省诸暨中学</x:v>
      </x:c>
      <x:c r="G165" s="12" t="n">
        <x:f>SUM(H165:J165)+K165</x:f>
        <x:v>457</x:v>
      </x:c>
      <x:c r="H165" s="12" t="n">
        <x:v>100</x:v>
      </x:c>
      <x:c r="I165" s="12" t="n">
        <x:v>190</x:v>
      </x:c>
      <x:c r="J165" s="12" t="n">
        <x:v>167</x:v>
      </x:c>
      <x:c r="K165" s="12" t="n">
        <x:f>IF(D165="A",5,0)</x:f>
        <x:v>0</x:v>
      </x:c>
    </x:row>
    <x:row r="166" ht="30" customHeight="1">
      <x:c r="A166" s="11" t="n">
        <x:f>RANK.EQ(G166,$G$2:$G$523,0)</x:f>
        <x:v>165</x:v>
      </x:c>
      <x:c r="B166" s="7" t="str">
        <x:v>CQ-008</x:v>
      </x:c>
      <x:c r="C166" s="7" t="str">
        <x:v>CQ</x:v>
      </x:c>
      <x:c r="D166" s="7" t="str">
        <x:v>B</x:v>
      </x:c>
      <x:c r="E166" s="8" t="str">
        <x:v>张恩铨</x:v>
      </x:c>
      <x:c r="F166" s="10" t="str">
        <x:v>重庆巴蜀科学城中学校</x:v>
      </x:c>
      <x:c r="G166" s="12" t="n">
        <x:f>SUM(H166:J166)+K166</x:f>
        <x:v>456</x:v>
      </x:c>
      <x:c r="H166" s="12" t="n">
        <x:v>100</x:v>
      </x:c>
      <x:c r="I166" s="12" t="n">
        <x:v>192</x:v>
      </x:c>
      <x:c r="J166" s="12" t="n">
        <x:v>164</x:v>
      </x:c>
      <x:c r="K166" s="12" t="n">
        <x:f>IF(D166="A",5,0)</x:f>
        <x:v>0</x:v>
      </x:c>
    </x:row>
    <x:row r="167" ht="30" customHeight="1">
      <x:c r="A167" s="11" t="n">
        <x:f>RANK.EQ(G167,$G$2:$G$523,0)</x:f>
        <x:v>165</x:v>
      </x:c>
      <x:c r="B167" s="7" t="str">
        <x:v>SC-014</x:v>
      </x:c>
      <x:c r="C167" s="7" t="str">
        <x:v>SC</x:v>
      </x:c>
      <x:c r="D167" s="7" t="str">
        <x:v>C</x:v>
      </x:c>
      <x:c r="E167" s="8" t="str">
        <x:v>伍霁葳</x:v>
      </x:c>
      <x:c r="F167" s="10" t="str">
        <x:v>四川省成都市第七中学</x:v>
      </x:c>
      <x:c r="G167" s="12" t="n">
        <x:f>SUM(H167:J167)+K167</x:f>
        <x:v>456</x:v>
      </x:c>
      <x:c r="H167" s="12" t="n">
        <x:v>99</x:v>
      </x:c>
      <x:c r="I167" s="12" t="n">
        <x:v>190</x:v>
      </x:c>
      <x:c r="J167" s="12" t="n">
        <x:v>167</x:v>
      </x:c>
      <x:c r="K167" s="12" t="n">
        <x:f>IF(D167="A",5,0)</x:f>
        <x:v>0</x:v>
      </x:c>
    </x:row>
    <x:row r="168" ht="30" customHeight="1">
      <x:c r="A168" s="11" t="n">
        <x:f>RANK.EQ(G168,$G$2:$G$523,0)</x:f>
        <x:v>167</x:v>
      </x:c>
      <x:c r="B168" s="7" t="str">
        <x:v>BJ-004</x:v>
      </x:c>
      <x:c r="C168" s="7" t="str">
        <x:v>BJ</x:v>
      </x:c>
      <x:c r="D168" s="7" t="str">
        <x:v>A</x:v>
      </x:c>
      <x:c r="E168" s="8" t="str">
        <x:v>王照元</x:v>
      </x:c>
      <x:c r="F168" s="10" t="str">
        <x:v>中国人民大学附属中学</x:v>
      </x:c>
      <x:c r="G168" s="12" t="n">
        <x:f>SUM(H168:J168)+K168</x:f>
        <x:v>455</x:v>
      </x:c>
      <x:c r="H168" s="12" t="n">
        <x:v>100</x:v>
      </x:c>
      <x:c r="I168" s="12" t="n">
        <x:v>222</x:v>
      </x:c>
      <x:c r="J168" s="12" t="n">
        <x:v>128</x:v>
      </x:c>
      <x:c r="K168" s="12" t="n">
        <x:f>IF(D168="A",5,0)</x:f>
        <x:v>5</x:v>
      </x:c>
    </x:row>
    <x:row r="169" ht="30" customHeight="1">
      <x:c r="A169" s="11" t="n">
        <x:f>RANK.EQ(G169,$G$2:$G$523,0)</x:f>
        <x:v>168</x:v>
      </x:c>
      <x:c r="B169" s="7" t="str">
        <x:v>AH-003</x:v>
      </x:c>
      <x:c r="C169" s="7" t="str">
        <x:v>AH</x:v>
      </x:c>
      <x:c r="D169" s="7" t="str">
        <x:v>A</x:v>
      </x:c>
      <x:c r="E169" s="8" t="str">
        <x:v>王天琢</x:v>
      </x:c>
      <x:c r="F169" s="10" t="str">
        <x:v>安徽师范大学附属中学</x:v>
      </x:c>
      <x:c r="G169" s="12" t="n">
        <x:f>SUM(H169:J169)+K169</x:f>
        <x:v>454</x:v>
      </x:c>
      <x:c r="H169" s="12" t="n">
        <x:v>100</x:v>
      </x:c>
      <x:c r="I169" s="12" t="n">
        <x:v>245</x:v>
      </x:c>
      <x:c r="J169" s="12" t="n">
        <x:v>104</x:v>
      </x:c>
      <x:c r="K169" s="12" t="n">
        <x:f>IF(D169="A",5,0)</x:f>
        <x:v>5</x:v>
      </x:c>
    </x:row>
    <x:row r="170" ht="30" customHeight="1">
      <x:c r="A170" s="11" t="n">
        <x:f>RANK.EQ(G170,$G$2:$G$523,0)</x:f>
        <x:v>168</x:v>
      </x:c>
      <x:c r="B170" s="7" t="str">
        <x:v>GD-025</x:v>
      </x:c>
      <x:c r="C170" s="7" t="str">
        <x:v>GD</x:v>
      </x:c>
      <x:c r="D170" s="7" t="str">
        <x:v>D</x:v>
      </x:c>
      <x:c r="E170" s="8" t="str">
        <x:v>杨惠然</x:v>
      </x:c>
      <x:c r="F170" s="10" t="str">
        <x:v>华南师范大学附属中学</x:v>
      </x:c>
      <x:c r="G170" s="12" t="n">
        <x:f>SUM(H170:J170)+K170</x:f>
        <x:v>454</x:v>
      </x:c>
      <x:c r="H170" s="12" t="n">
        <x:v>100</x:v>
      </x:c>
      <x:c r="I170" s="12" t="n">
        <x:v>202</x:v>
      </x:c>
      <x:c r="J170" s="12" t="n">
        <x:v>152</x:v>
      </x:c>
      <x:c r="K170" s="12" t="n">
        <x:f>IF(D170="A",5,0)</x:f>
        <x:v>0</x:v>
      </x:c>
    </x:row>
    <x:row r="171" ht="30" customHeight="1">
      <x:c r="A171" s="11" t="n">
        <x:f>RANK.EQ(G171,$G$2:$G$523,0)</x:f>
        <x:v>168</x:v>
      </x:c>
      <x:c r="B171" s="7" t="str">
        <x:v>HN-008</x:v>
      </x:c>
      <x:c r="C171" s="7" t="str">
        <x:v>HN</x:v>
      </x:c>
      <x:c r="D171" s="7" t="str">
        <x:v>B</x:v>
      </x:c>
      <x:c r="E171" s="8" t="str">
        <x:v>范梓轩</x:v>
      </x:c>
      <x:c r="F171" s="10" t="str">
        <x:v>长沙市雅礼中学</x:v>
      </x:c>
      <x:c r="G171" s="12" t="n">
        <x:f>SUM(H171:J171)+K171</x:f>
        <x:v>454</x:v>
      </x:c>
      <x:c r="H171" s="12" t="n">
        <x:v>100</x:v>
      </x:c>
      <x:c r="I171" s="12" t="n">
        <x:v>194</x:v>
      </x:c>
      <x:c r="J171" s="12" t="n">
        <x:v>160</x:v>
      </x:c>
      <x:c r="K171" s="12" t="n">
        <x:f>IF(D171="A",5,0)</x:f>
        <x:v>0</x:v>
      </x:c>
    </x:row>
    <x:row r="172" ht="30" customHeight="1">
      <x:c r="A172" s="11" t="n">
        <x:f>RANK.EQ(G172,$G$2:$G$523,0)</x:f>
        <x:v>168</x:v>
      </x:c>
      <x:c r="B172" s="7" t="str">
        <x:v>SC-017</x:v>
      </x:c>
      <x:c r="C172" s="7" t="str">
        <x:v>SC</x:v>
      </x:c>
      <x:c r="D172" s="7" t="str">
        <x:v>D</x:v>
      </x:c>
      <x:c r="E172" s="8" t="str">
        <x:v>陈统峙</x:v>
      </x:c>
      <x:c r="F172" s="10" t="str">
        <x:v>四川省成都市第七中学</x:v>
      </x:c>
      <x:c r="G172" s="12" t="n">
        <x:f>SUM(H172:J172)+K172</x:f>
        <x:v>454</x:v>
      </x:c>
      <x:c r="H172" s="12" t="n">
        <x:v>100</x:v>
      </x:c>
      <x:c r="I172" s="12" t="n">
        <x:v>228</x:v>
      </x:c>
      <x:c r="J172" s="12" t="n">
        <x:v>126</x:v>
      </x:c>
      <x:c r="K172" s="12" t="n">
        <x:f>IF(D172="A",5,0)</x:f>
        <x:v>0</x:v>
      </x:c>
    </x:row>
    <x:row r="173" ht="30" customHeight="1">
      <x:c r="A173" s="11" t="n">
        <x:f>RANK.EQ(G173,$G$2:$G$523,0)</x:f>
        <x:v>172</x:v>
      </x:c>
      <x:c r="B173" s="7" t="str">
        <x:v>HA-006</x:v>
      </x:c>
      <x:c r="C173" s="7" t="str">
        <x:v>HA</x:v>
      </x:c>
      <x:c r="D173" s="7" t="str">
        <x:v>B</x:v>
      </x:c>
      <x:c r="E173" s="8" t="str">
        <x:v>张留诚</x:v>
      </x:c>
      <x:c r="F173" s="10" t="str">
        <x:v>河南省实验中学</x:v>
      </x:c>
      <x:c r="G173" s="12" t="n">
        <x:f>SUM(H173:J173)+K173</x:f>
        <x:v>453</x:v>
      </x:c>
      <x:c r="H173" s="12" t="n">
        <x:v>100</x:v>
      </x:c>
      <x:c r="I173" s="12" t="n">
        <x:v>161</x:v>
      </x:c>
      <x:c r="J173" s="12" t="n">
        <x:v>192</x:v>
      </x:c>
      <x:c r="K173" s="12" t="n">
        <x:f>IF(D173="A",5,0)</x:f>
        <x:v>0</x:v>
      </x:c>
    </x:row>
    <x:row r="174" ht="30" customHeight="1">
      <x:c r="A174" s="11" t="n">
        <x:f>RANK.EQ(G174,$G$2:$G$523,0)</x:f>
        <x:v>172</x:v>
      </x:c>
      <x:c r="B174" s="7" t="str">
        <x:v>JL-003</x:v>
      </x:c>
      <x:c r="C174" s="7" t="str">
        <x:v>JL</x:v>
      </x:c>
      <x:c r="D174" s="7" t="str">
        <x:v>A</x:v>
      </x:c>
      <x:c r="E174" s="8" t="str">
        <x:v>刘瀚博</x:v>
      </x:c>
      <x:c r="F174" s="10" t="str">
        <x:v>长春东师附中青华学校</x:v>
      </x:c>
      <x:c r="G174" s="12" t="n">
        <x:f>SUM(H174:J174)+K174</x:f>
        <x:v>453</x:v>
      </x:c>
      <x:c r="H174" s="12" t="n">
        <x:v>100</x:v>
      </x:c>
      <x:c r="I174" s="12" t="n">
        <x:v>192</x:v>
      </x:c>
      <x:c r="J174" s="12" t="n">
        <x:v>156</x:v>
      </x:c>
      <x:c r="K174" s="12" t="n">
        <x:f>IF(D174="A",5,0)</x:f>
        <x:v>5</x:v>
      </x:c>
    </x:row>
    <x:row r="175" ht="30" customHeight="1">
      <x:c r="A175" s="11" t="n">
        <x:f>RANK.EQ(G175,$G$2:$G$523,0)</x:f>
        <x:v>174</x:v>
      </x:c>
      <x:c r="B175" s="7" t="str">
        <x:v>BJ-013</x:v>
      </x:c>
      <x:c r="C175" s="7" t="str">
        <x:v>BJ</x:v>
      </x:c>
      <x:c r="D175" s="7" t="str">
        <x:v>B</x:v>
      </x:c>
      <x:c r="E175" s="8" t="str">
        <x:v>杨蕙宁</x:v>
      </x:c>
      <x:c r="F175" s="10" t="str">
        <x:v>北京亦庄实验中学</x:v>
      </x:c>
      <x:c r="G175" s="12" t="n">
        <x:f>SUM(H175:J175)+K175</x:f>
        <x:v>452</x:v>
      </x:c>
      <x:c r="H175" s="12" t="n">
        <x:v>100</x:v>
      </x:c>
      <x:c r="I175" s="12" t="n">
        <x:v>196</x:v>
      </x:c>
      <x:c r="J175" s="12" t="n">
        <x:v>156</x:v>
      </x:c>
      <x:c r="K175" s="12" t="n">
        <x:f>IF(D175="A",5,0)</x:f>
        <x:v>0</x:v>
      </x:c>
    </x:row>
    <x:row r="176" ht="30" customHeight="1">
      <x:c r="A176" s="11" t="n">
        <x:f>RANK.EQ(G176,$G$2:$G$523,0)</x:f>
        <x:v>174</x:v>
      </x:c>
      <x:c r="B176" s="7" t="str">
        <x:v>SC-004</x:v>
      </x:c>
      <x:c r="C176" s="7" t="str">
        <x:v>SC</x:v>
      </x:c>
      <x:c r="D176" s="7" t="str">
        <x:v>A</x:v>
      </x:c>
      <x:c r="E176" s="8" t="str">
        <x:v>王译萱</x:v>
      </x:c>
      <x:c r="F176" s="10" t="str">
        <x:v>成都市锦江区嘉祥外国语高级中学</x:v>
      </x:c>
      <x:c r="G176" s="12" t="n">
        <x:f>SUM(H176:J176)+K176</x:f>
        <x:v>452</x:v>
      </x:c>
      <x:c r="H176" s="12" t="n">
        <x:v>100</x:v>
      </x:c>
      <x:c r="I176" s="12" t="n">
        <x:v>236</x:v>
      </x:c>
      <x:c r="J176" s="12" t="n">
        <x:v>111</x:v>
      </x:c>
      <x:c r="K176" s="12" t="n">
        <x:f>IF(D176="A",5,0)</x:f>
        <x:v>5</x:v>
      </x:c>
    </x:row>
    <x:row r="177" ht="30" customHeight="1">
      <x:c r="A177" s="11" t="n">
        <x:f>RANK.EQ(G177,$G$2:$G$523,0)</x:f>
        <x:v>176</x:v>
      </x:c>
      <x:c r="B177" s="7" t="str">
        <x:v>FJ-006</x:v>
      </x:c>
      <x:c r="C177" s="7" t="str">
        <x:v>FJ</x:v>
      </x:c>
      <x:c r="D177" s="7" t="str">
        <x:v>B</x:v>
      </x:c>
      <x:c r="E177" s="8" t="str">
        <x:v>陈麒润</x:v>
      </x:c>
      <x:c r="F177" s="10" t="str">
        <x:v>福建省泉州第一中学</x:v>
      </x:c>
      <x:c r="G177" s="12" t="n">
        <x:f>SUM(H177:J177)+K177</x:f>
        <x:v>451</x:v>
      </x:c>
      <x:c r="H177" s="12" t="n">
        <x:v>100</x:v>
      </x:c>
      <x:c r="I177" s="12" t="n">
        <x:v>187</x:v>
      </x:c>
      <x:c r="J177" s="12" t="n">
        <x:v>164</x:v>
      </x:c>
      <x:c r="K177" s="12" t="n">
        <x:f>IF(D177="A",5,0)</x:f>
        <x:v>0</x:v>
      </x:c>
    </x:row>
    <x:row r="178" ht="30" customHeight="1">
      <x:c r="A178" s="11" t="n">
        <x:f>RANK.EQ(G178,$G$2:$G$523,0)</x:f>
        <x:v>176</x:v>
      </x:c>
      <x:c r="B178" s="7" t="str">
        <x:v>JL-001</x:v>
      </x:c>
      <x:c r="C178" s="7" t="str">
        <x:v>JL</x:v>
      </x:c>
      <x:c r="D178" s="7" t="str">
        <x:v>A</x:v>
      </x:c>
      <x:c r="E178" s="8" t="str">
        <x:v>刘淏祎</x:v>
      </x:c>
      <x:c r="F178" s="10" t="str">
        <x:v>东北师范大学附属中学</x:v>
      </x:c>
      <x:c r="G178" s="12" t="n">
        <x:f>SUM(H178:J178)+K178</x:f>
        <x:v>451</x:v>
      </x:c>
      <x:c r="H178" s="12" t="n">
        <x:v>100</x:v>
      </x:c>
      <x:c r="I178" s="12" t="n">
        <x:v>233</x:v>
      </x:c>
      <x:c r="J178" s="12" t="n">
        <x:v>113</x:v>
      </x:c>
      <x:c r="K178" s="12" t="n">
        <x:f>IF(D178="A",5,0)</x:f>
        <x:v>5</x:v>
      </x:c>
    </x:row>
    <x:row r="179" ht="30" customHeight="1">
      <x:c r="A179" s="11" t="n">
        <x:f>RANK.EQ(G179,$G$2:$G$523,0)</x:f>
        <x:v>178</x:v>
      </x:c>
      <x:c r="B179" s="7" t="str">
        <x:v>SC-009</x:v>
      </x:c>
      <x:c r="C179" s="7" t="str">
        <x:v>SC</x:v>
      </x:c>
      <x:c r="D179" s="7" t="str">
        <x:v>B</x:v>
      </x:c>
      <x:c r="E179" s="8" t="str">
        <x:v>彭赞滔</x:v>
      </x:c>
      <x:c r="F179" s="10" t="str">
        <x:v>成都市锦江区嘉祥外国语高级中学</x:v>
      </x:c>
      <x:c r="G179" s="12" t="n">
        <x:f>SUM(H179:J179)+K179</x:f>
        <x:v>448</x:v>
      </x:c>
      <x:c r="H179" s="12" t="n">
        <x:v>100</x:v>
      </x:c>
      <x:c r="I179" s="12" t="n">
        <x:v>216</x:v>
      </x:c>
      <x:c r="J179" s="12" t="n">
        <x:v>132</x:v>
      </x:c>
      <x:c r="K179" s="12" t="n">
        <x:f>IF(D179="A",5,0)</x:f>
        <x:v>0</x:v>
      </x:c>
    </x:row>
    <x:row r="180" ht="30" customHeight="1">
      <x:c r="A180" s="11" t="n">
        <x:f>RANK.EQ(G180,$G$2:$G$523,0)</x:f>
        <x:v>179</x:v>
      </x:c>
      <x:c r="B180" s="7" t="str">
        <x:v>BJ-035</x:v>
      </x:c>
      <x:c r="C180" s="7" t="str">
        <x:v>BJ</x:v>
      </x:c>
      <x:c r="D180" s="7" t="str">
        <x:v>D</x:v>
      </x:c>
      <x:c r="E180" s="8" t="str">
        <x:v>马轩羽</x:v>
      </x:c>
      <x:c r="F180" s="10" t="str">
        <x:v>中国人民大学附属中学</x:v>
      </x:c>
      <x:c r="G180" s="12" t="n">
        <x:f>SUM(H180:J180)+K180</x:f>
        <x:v>447</x:v>
      </x:c>
      <x:c r="H180" s="12" t="n">
        <x:v>100</x:v>
      </x:c>
      <x:c r="I180" s="12" t="n">
        <x:v>242</x:v>
      </x:c>
      <x:c r="J180" s="12" t="n">
        <x:v>105</x:v>
      </x:c>
      <x:c r="K180" s="12" t="n">
        <x:f>IF(D180="A",5,0)</x:f>
        <x:v>0</x:v>
      </x:c>
    </x:row>
    <x:row r="181" ht="30" customHeight="1">
      <x:c r="A181" s="11" t="n">
        <x:f>RANK.EQ(G181,$G$2:$G$523,0)</x:f>
        <x:v>180</x:v>
      </x:c>
      <x:c r="B181" s="7" t="str">
        <x:v>SN-010</x:v>
      </x:c>
      <x:c r="C181" s="7" t="str">
        <x:v>SN</x:v>
      </x:c>
      <x:c r="D181" s="7" t="str">
        <x:v>D</x:v>
      </x:c>
      <x:c r="E181" s="8" t="str">
        <x:v>王思琦</x:v>
      </x:c>
      <x:c r="F181" s="10" t="str">
        <x:v>西安高新区第三初级中学</x:v>
      </x:c>
      <x:c r="G181" s="12" t="n">
        <x:f>SUM(H181:J181)+K181</x:f>
        <x:v>446</x:v>
      </x:c>
      <x:c r="H181" s="12" t="n">
        <x:v>100</x:v>
      </x:c>
      <x:c r="I181" s="12" t="n">
        <x:v>194</x:v>
      </x:c>
      <x:c r="J181" s="12" t="n">
        <x:v>152</x:v>
      </x:c>
      <x:c r="K181" s="12" t="n">
        <x:f>IF(D181="A",5,0)</x:f>
        <x:v>0</x:v>
      </x:c>
    </x:row>
    <x:row r="182" ht="30" customHeight="1">
      <x:c r="A182" s="11" t="n">
        <x:f>RANK.EQ(G182,$G$2:$G$523,0)</x:f>
        <x:v>181</x:v>
      </x:c>
      <x:c r="B182" s="7" t="str">
        <x:v>FJ-027</x:v>
      </x:c>
      <x:c r="C182" s="7" t="str">
        <x:v>FJ</x:v>
      </x:c>
      <x:c r="D182" s="7" t="str">
        <x:v>E</x:v>
      </x:c>
      <x:c r="E182" s="8" t="str">
        <x:v>陈泓宇</x:v>
      </x:c>
      <x:c r="F182" s="10" t="str">
        <x:v>福建师范大学附属中学</x:v>
      </x:c>
      <x:c r="G182" s="12" t="n">
        <x:f>SUM(H182:J182)+K182</x:f>
        <x:v>445</x:v>
      </x:c>
      <x:c r="H182" s="12" t="n">
        <x:v>100</x:v>
      </x:c>
      <x:c r="I182" s="12" t="n">
        <x:v>205</x:v>
      </x:c>
      <x:c r="J182" s="12" t="n">
        <x:v>140</x:v>
      </x:c>
      <x:c r="K182" s="12" t="n">
        <x:f>IF(D182="A",5,0)</x:f>
        <x:v>0</x:v>
      </x:c>
    </x:row>
    <x:row r="183" ht="30" customHeight="1">
      <x:c r="A183" s="11" t="n">
        <x:f>RANK.EQ(G183,$G$2:$G$523,0)</x:f>
        <x:v>181</x:v>
      </x:c>
      <x:c r="B183" s="7" t="str">
        <x:v>HB-007</x:v>
      </x:c>
      <x:c r="C183" s="7" t="str">
        <x:v>HB</x:v>
      </x:c>
      <x:c r="D183" s="7" t="str">
        <x:v>B</x:v>
      </x:c>
      <x:c r="E183" s="8" t="str">
        <x:v>覃歆轲</x:v>
      </x:c>
      <x:c r="F183" s="10" t="str">
        <x:v>宜昌市夷陵中学</x:v>
      </x:c>
      <x:c r="G183" s="12" t="n">
        <x:f>SUM(H183:J183)+K183</x:f>
        <x:v>445</x:v>
      </x:c>
      <x:c r="H183" s="12" t="n">
        <x:v>100</x:v>
      </x:c>
      <x:c r="I183" s="12" t="n">
        <x:v>193</x:v>
      </x:c>
      <x:c r="J183" s="12" t="n">
        <x:v>152</x:v>
      </x:c>
      <x:c r="K183" s="12" t="n">
        <x:f>IF(D183="A",5,0)</x:f>
        <x:v>0</x:v>
      </x:c>
    </x:row>
    <x:row r="184" ht="30" customHeight="1">
      <x:c r="A184" s="11" t="n">
        <x:f>RANK.EQ(G184,$G$2:$G$523,0)</x:f>
        <x:v>183</x:v>
      </x:c>
      <x:c r="B184" s="7" t="str">
        <x:v>BJ-007</x:v>
      </x:c>
      <x:c r="C184" s="7" t="str">
        <x:v>BJ</x:v>
      </x:c>
      <x:c r="D184" s="7" t="str">
        <x:v>B</x:v>
      </x:c>
      <x:c r="E184" s="8" t="str">
        <x:v>陈信允</x:v>
      </x:c>
      <x:c r="F184" s="10" t="str">
        <x:v>北京市十一学校</x:v>
      </x:c>
      <x:c r="G184" s="12" t="n">
        <x:f>SUM(H184:J184)+K184</x:f>
        <x:v>444</x:v>
      </x:c>
      <x:c r="H184" s="12" t="n">
        <x:v>100</x:v>
      </x:c>
      <x:c r="I184" s="12" t="n">
        <x:v>216</x:v>
      </x:c>
      <x:c r="J184" s="12" t="n">
        <x:v>128</x:v>
      </x:c>
      <x:c r="K184" s="12" t="n">
        <x:f>IF(D184="A",5,0)</x:f>
        <x:v>0</x:v>
      </x:c>
    </x:row>
    <x:row r="185" ht="30" customHeight="1">
      <x:c r="A185" s="11" t="n">
        <x:f>RANK.EQ(G185,$G$2:$G$523,0)</x:f>
        <x:v>183</x:v>
      </x:c>
      <x:c r="B185" s="7" t="str">
        <x:v>JS-018</x:v>
      </x:c>
      <x:c r="C185" s="7" t="str">
        <x:v>JS</x:v>
      </x:c>
      <x:c r="D185" s="7" t="str">
        <x:v>B</x:v>
      </x:c>
      <x:c r="E185" s="8" t="str">
        <x:v>汪瑞锟</x:v>
      </x:c>
      <x:c r="F185" s="10" t="str">
        <x:v>江苏省锡山高级中学</x:v>
      </x:c>
      <x:c r="G185" s="12" t="n">
        <x:f>SUM(H185:J185)+K185</x:f>
        <x:v>444</x:v>
      </x:c>
      <x:c r="H185" s="12" t="n">
        <x:v>100</x:v>
      </x:c>
      <x:c r="I185" s="12" t="n">
        <x:v>196</x:v>
      </x:c>
      <x:c r="J185" s="12" t="n">
        <x:v>148</x:v>
      </x:c>
      <x:c r="K185" s="12" t="n">
        <x:f>IF(D185="A",5,0)</x:f>
        <x:v>0</x:v>
      </x:c>
    </x:row>
    <x:row r="186" ht="30" customHeight="1">
      <x:c r="A186" s="11" t="n">
        <x:f>RANK.EQ(G186,$G$2:$G$523,0)</x:f>
        <x:v>183</x:v>
      </x:c>
      <x:c r="B186" s="7" t="str">
        <x:v>SH-011</x:v>
      </x:c>
      <x:c r="C186" s="7" t="str">
        <x:v>SH</x:v>
      </x:c>
      <x:c r="D186" s="7" t="str">
        <x:v>B</x:v>
      </x:c>
      <x:c r="E186" s="8" t="str">
        <x:v>左天佑</x:v>
      </x:c>
      <x:c r="F186" s="10" t="str">
        <x:v>上海交通大学附属中学</x:v>
      </x:c>
      <x:c r="G186" s="12" t="n">
        <x:f>SUM(H186:J186)+K186</x:f>
        <x:v>444</x:v>
      </x:c>
      <x:c r="H186" s="12" t="n">
        <x:v>100</x:v>
      </x:c>
      <x:c r="I186" s="12" t="n">
        <x:v>216</x:v>
      </x:c>
      <x:c r="J186" s="12" t="n">
        <x:v>128</x:v>
      </x:c>
      <x:c r="K186" s="12" t="n">
        <x:f>IF(D186="A",5,0)</x:f>
        <x:v>0</x:v>
      </x:c>
    </x:row>
    <x:row r="187" ht="30" customHeight="1">
      <x:c r="A187" s="11" t="n">
        <x:f>RANK.EQ(G187,$G$2:$G$523,0)</x:f>
        <x:v>186</x:v>
      </x:c>
      <x:c r="B187" s="7" t="str">
        <x:v>ZJ-015</x:v>
      </x:c>
      <x:c r="C187" s="7" t="str">
        <x:v>ZJ</x:v>
      </x:c>
      <x:c r="D187" s="7" t="str">
        <x:v>B</x:v>
      </x:c>
      <x:c r="E187" s="8" t="str">
        <x:v>姚岩峰</x:v>
      </x:c>
      <x:c r="F187" s="10" t="str">
        <x:v>浙江省诸暨市海亮高级中学</x:v>
      </x:c>
      <x:c r="G187" s="12" t="n">
        <x:f>SUM(H187:J187)+K187</x:f>
        <x:v>440</x:v>
      </x:c>
      <x:c r="H187" s="12" t="n">
        <x:v>100</x:v>
      </x:c>
      <x:c r="I187" s="12" t="n">
        <x:v>196</x:v>
      </x:c>
      <x:c r="J187" s="12" t="n">
        <x:v>144</x:v>
      </x:c>
      <x:c r="K187" s="12" t="n">
        <x:f>IF(D187="A",5,0)</x:f>
        <x:v>0</x:v>
      </x:c>
    </x:row>
    <x:row r="188" ht="30" customHeight="1">
      <x:c r="A188" s="11" t="n">
        <x:f>RANK.EQ(G188,$G$2:$G$523,0)</x:f>
        <x:v>187</x:v>
      </x:c>
      <x:c r="B188" s="7" t="str">
        <x:v>GD-026</x:v>
      </x:c>
      <x:c r="C188" s="7" t="str">
        <x:v>GD</x:v>
      </x:c>
      <x:c r="D188" s="7" t="str">
        <x:v>D</x:v>
      </x:c>
      <x:c r="E188" s="8" t="str">
        <x:v>卢逸轩</x:v>
      </x:c>
      <x:c r="F188" s="10" t="str">
        <x:v>华南师范大学附属中学</x:v>
      </x:c>
      <x:c r="G188" s="12" t="n">
        <x:f>SUM(H188:J188)+K188</x:f>
        <x:v>439</x:v>
      </x:c>
      <x:c r="H188" s="12" t="n">
        <x:v>100</x:v>
      </x:c>
      <x:c r="I188" s="12" t="n">
        <x:v>211</x:v>
      </x:c>
      <x:c r="J188" s="12" t="n">
        <x:v>128</x:v>
      </x:c>
      <x:c r="K188" s="12" t="n">
        <x:f>IF(D188="A",5,0)</x:f>
        <x:v>0</x:v>
      </x:c>
    </x:row>
    <x:row r="189" ht="30" customHeight="1">
      <x:c r="A189" s="11" t="n">
        <x:f>RANK.EQ(G189,$G$2:$G$523,0)</x:f>
        <x:v>187</x:v>
      </x:c>
      <x:c r="B189" s="7" t="str">
        <x:v>SD-019</x:v>
      </x:c>
      <x:c r="C189" s="7" t="str">
        <x:v>SD</x:v>
      </x:c>
      <x:c r="D189" s="7" t="str">
        <x:v>B</x:v>
      </x:c>
      <x:c r="E189" s="8" t="str">
        <x:v>李秉泽</x:v>
      </x:c>
      <x:c r="F189" s="10" t="str">
        <x:v>山东省青岛第二中学</x:v>
      </x:c>
      <x:c r="G189" s="12" t="n">
        <x:f>SUM(H189:J189)+K189</x:f>
        <x:v>439</x:v>
      </x:c>
      <x:c r="H189" s="12" t="n">
        <x:v>100</x:v>
      </x:c>
      <x:c r="I189" s="12" t="n">
        <x:v>135</x:v>
      </x:c>
      <x:c r="J189" s="12" t="n">
        <x:v>204</x:v>
      </x:c>
      <x:c r="K189" s="12" t="n">
        <x:f>IF(D189="A",5,0)</x:f>
        <x:v>0</x:v>
      </x:c>
    </x:row>
    <x:row r="190" ht="30" customHeight="1">
      <x:c r="A190" s="11" t="n">
        <x:f>RANK.EQ(G190,$G$2:$G$523,0)</x:f>
        <x:v>187</x:v>
      </x:c>
      <x:c r="B190" s="7" t="str">
        <x:v>ZJ-031</x:v>
      </x:c>
      <x:c r="C190" s="7" t="str">
        <x:v>ZJ</x:v>
      </x:c>
      <x:c r="D190" s="7" t="str">
        <x:v>D</x:v>
      </x:c>
      <x:c r="E190" s="8" t="str">
        <x:v>汪子峻</x:v>
      </x:c>
      <x:c r="F190" s="10" t="str">
        <x:v>宁波市镇海中学</x:v>
      </x:c>
      <x:c r="G190" s="12" t="n">
        <x:f>SUM(H190:J190)+K190</x:f>
        <x:v>439</x:v>
      </x:c>
      <x:c r="H190" s="12" t="n">
        <x:v>100</x:v>
      </x:c>
      <x:c r="I190" s="12" t="n">
        <x:v>191</x:v>
      </x:c>
      <x:c r="J190" s="12" t="n">
        <x:v>148</x:v>
      </x:c>
      <x:c r="K190" s="12" t="n">
        <x:f>IF(D190="A",5,0)</x:f>
        <x:v>0</x:v>
      </x:c>
    </x:row>
    <x:row r="191" ht="30" customHeight="1">
      <x:c r="A191" s="11" t="n">
        <x:f>RANK.EQ(G191,$G$2:$G$523,0)</x:f>
        <x:v>190</x:v>
      </x:c>
      <x:c r="B191" s="7" t="str">
        <x:v>CQ-017</x:v>
      </x:c>
      <x:c r="C191" s="7" t="str">
        <x:v>CQ</x:v>
      </x:c>
      <x:c r="D191" s="7" t="str">
        <x:v>B</x:v>
      </x:c>
      <x:c r="E191" s="8" t="str">
        <x:v>曾奕翰</x:v>
      </x:c>
      <x:c r="F191" s="10" t="str">
        <x:v>重庆市育才中学校</x:v>
      </x:c>
      <x:c r="G191" s="12" t="n">
        <x:f>SUM(H191:J191)+K191</x:f>
        <x:v>437</x:v>
      </x:c>
      <x:c r="H191" s="12" t="n">
        <x:v>100</x:v>
      </x:c>
      <x:c r="I191" s="12" t="n">
        <x:v>196</x:v>
      </x:c>
      <x:c r="J191" s="12" t="n">
        <x:v>141</x:v>
      </x:c>
      <x:c r="K191" s="12" t="n">
        <x:f>IF(D191="A",5,0)</x:f>
        <x:v>0</x:v>
      </x:c>
    </x:row>
    <x:row r="192" ht="30" customHeight="1">
      <x:c r="A192" s="11" t="n">
        <x:f>RANK.EQ(G192,$G$2:$G$523,0)</x:f>
        <x:v>190</x:v>
      </x:c>
      <x:c r="B192" s="7" t="str">
        <x:v>JL-009</x:v>
      </x:c>
      <x:c r="C192" s="7" t="str">
        <x:v>JL</x:v>
      </x:c>
      <x:c r="D192" s="7" t="str">
        <x:v>E</x:v>
      </x:c>
      <x:c r="E192" s="8" t="str">
        <x:v>许朝博</x:v>
      </x:c>
      <x:c r="F192" s="10" t="str">
        <x:v>吉林省第二实验高新学校</x:v>
      </x:c>
      <x:c r="G192" s="12" t="n">
        <x:f>SUM(H192:J192)+K192</x:f>
        <x:v>437</x:v>
      </x:c>
      <x:c r="H192" s="12" t="n">
        <x:v>100</x:v>
      </x:c>
      <x:c r="I192" s="12" t="n">
        <x:v>193</x:v>
      </x:c>
      <x:c r="J192" s="12" t="n">
        <x:v>144</x:v>
      </x:c>
      <x:c r="K192" s="12" t="n">
        <x:f>IF(D192="A",5,0)</x:f>
        <x:v>0</x:v>
      </x:c>
    </x:row>
    <x:row r="193" ht="30" customHeight="1">
      <x:c r="A193" s="11" t="n">
        <x:f>RANK.EQ(G193,$G$2:$G$523,0)</x:f>
        <x:v>190</x:v>
      </x:c>
      <x:c r="B193" s="7" t="str">
        <x:v>JS-030</x:v>
      </x:c>
      <x:c r="C193" s="7" t="str">
        <x:v>JS</x:v>
      </x:c>
      <x:c r="D193" s="7" t="str">
        <x:v>E</x:v>
      </x:c>
      <x:c r="E193" s="8" t="str">
        <x:v>杨智博</x:v>
      </x:c>
      <x:c r="F193" s="10" t="str">
        <x:v>南京外国语学校</x:v>
      </x:c>
      <x:c r="G193" s="12" t="n">
        <x:f>SUM(H193:J193)+K193</x:f>
        <x:v>437</x:v>
      </x:c>
      <x:c r="H193" s="12" t="n">
        <x:v>100</x:v>
      </x:c>
      <x:c r="I193" s="12" t="n">
        <x:v>242</x:v>
      </x:c>
      <x:c r="J193" s="12" t="n">
        <x:v>95</x:v>
      </x:c>
      <x:c r="K193" s="12" t="n">
        <x:f>IF(D193="A",5,0)</x:f>
        <x:v>0</x:v>
      </x:c>
    </x:row>
    <x:row r="194" ht="30" customHeight="1">
      <x:c r="A194" s="11" t="n">
        <x:f>RANK.EQ(G194,$G$2:$G$523,0)</x:f>
        <x:v>193</x:v>
      </x:c>
      <x:c r="B194" s="7" t="str">
        <x:v>GX-001</x:v>
      </x:c>
      <x:c r="C194" s="7" t="str">
        <x:v>GX</x:v>
      </x:c>
      <x:c r="D194" s="7" t="str">
        <x:v>A</x:v>
      </x:c>
      <x:c r="E194" s="8" t="str">
        <x:v>胡开棣</x:v>
      </x:c>
      <x:c r="F194" s="10" t="str">
        <x:v>柳州铁一中学</x:v>
      </x:c>
      <x:c r="G194" s="12" t="n">
        <x:f>SUM(H194:J194)+K194</x:f>
        <x:v>435</x:v>
      </x:c>
      <x:c r="H194" s="12" t="n">
        <x:v>100</x:v>
      </x:c>
      <x:c r="I194" s="12" t="n">
        <x:v>178</x:v>
      </x:c>
      <x:c r="J194" s="12" t="n">
        <x:v>152</x:v>
      </x:c>
      <x:c r="K194" s="12" t="n">
        <x:f>IF(D194="A",5,0)</x:f>
        <x:v>5</x:v>
      </x:c>
    </x:row>
    <x:row r="195" ht="30" customHeight="1">
      <x:c r="A195" s="11" t="n">
        <x:f>RANK.EQ(G195,$G$2:$G$523,0)</x:f>
        <x:v>193</x:v>
      </x:c>
      <x:c r="B195" s="7" t="str">
        <x:v>HN-019</x:v>
      </x:c>
      <x:c r="C195" s="7" t="str">
        <x:v>HN</x:v>
      </x:c>
      <x:c r="D195" s="7" t="str">
        <x:v>D</x:v>
      </x:c>
      <x:c r="E195" s="8" t="str">
        <x:v>黄启轩</x:v>
      </x:c>
      <x:c r="F195" s="10" t="str">
        <x:v>长沙市雅礼中学</x:v>
      </x:c>
      <x:c r="G195" s="12" t="n">
        <x:f>SUM(H195:J195)+K195</x:f>
        <x:v>435</x:v>
      </x:c>
      <x:c r="H195" s="12" t="n">
        <x:v>100</x:v>
      </x:c>
      <x:c r="I195" s="12" t="n">
        <x:v>132</x:v>
      </x:c>
      <x:c r="J195" s="12" t="n">
        <x:v>203</x:v>
      </x:c>
      <x:c r="K195" s="12" t="n">
        <x:f>IF(D195="A",5,0)</x:f>
        <x:v>0</x:v>
      </x:c>
    </x:row>
    <x:row r="196" ht="30" customHeight="1">
      <x:c r="A196" s="11" t="n">
        <x:f>RANK.EQ(G196,$G$2:$G$523,0)</x:f>
        <x:v>195</x:v>
      </x:c>
      <x:c r="B196" s="7" t="str">
        <x:v>SC-008</x:v>
      </x:c>
      <x:c r="C196" s="7" t="str">
        <x:v>SC</x:v>
      </x:c>
      <x:c r="D196" s="7" t="str">
        <x:v>B</x:v>
      </x:c>
      <x:c r="E196" s="8" t="str">
        <x:v>马周</x:v>
      </x:c>
      <x:c r="F196" s="10" t="str">
        <x:v>成都市新津区成实外高级中学</x:v>
      </x:c>
      <x:c r="G196" s="12" t="n">
        <x:f>SUM(H196:J196)+K196</x:f>
        <x:v>434</x:v>
      </x:c>
      <x:c r="H196" s="12" t="n">
        <x:v>100</x:v>
      </x:c>
      <x:c r="I196" s="12" t="n">
        <x:v>170</x:v>
      </x:c>
      <x:c r="J196" s="12" t="n">
        <x:v>164</x:v>
      </x:c>
      <x:c r="K196" s="12" t="n">
        <x:f>IF(D196="A",5,0)</x:f>
        <x:v>0</x:v>
      </x:c>
    </x:row>
    <x:row r="197" ht="30" customHeight="1">
      <x:c r="A197" s="11" t="n">
        <x:f>RANK.EQ(G197,$G$2:$G$523,0)</x:f>
        <x:v>196</x:v>
      </x:c>
      <x:c r="B197" s="7" t="str">
        <x:v>CQ-007</x:v>
      </x:c>
      <x:c r="C197" s="7" t="str">
        <x:v>CQ</x:v>
      </x:c>
      <x:c r="D197" s="7" t="str">
        <x:v>B</x:v>
      </x:c>
      <x:c r="E197" s="8" t="str">
        <x:v>罗文佐</x:v>
      </x:c>
      <x:c r="F197" s="10" t="str">
        <x:v>重庆市第八中学校</x:v>
      </x:c>
      <x:c r="G197" s="12" t="n">
        <x:f>SUM(H197:J197)+K197</x:f>
        <x:v>433</x:v>
      </x:c>
      <x:c r="H197" s="12" t="n">
        <x:v>100</x:v>
      </x:c>
      <x:c r="I197" s="12" t="n">
        <x:v>173</x:v>
      </x:c>
      <x:c r="J197" s="12" t="n">
        <x:v>160</x:v>
      </x:c>
      <x:c r="K197" s="12" t="n">
        <x:f>IF(D197="A",5,0)</x:f>
        <x:v>0</x:v>
      </x:c>
    </x:row>
    <x:row r="198" ht="30" customHeight="1">
      <x:c r="A198" s="11" t="n">
        <x:f>RANK.EQ(G198,$G$2:$G$523,0)</x:f>
        <x:v>196</x:v>
      </x:c>
      <x:c r="B198" s="7" t="str">
        <x:v>GD-037</x:v>
      </x:c>
      <x:c r="C198" s="7" t="str">
        <x:v>GD</x:v>
      </x:c>
      <x:c r="D198" s="7" t="str">
        <x:v>E</x:v>
      </x:c>
      <x:c r="E198" s="8" t="str">
        <x:v>袁煜智</x:v>
      </x:c>
      <x:c r="F198" s="10" t="str">
        <x:v>中山市三鑫学校</x:v>
      </x:c>
      <x:c r="G198" s="12" t="n">
        <x:f>SUM(H198:J198)+K198</x:f>
        <x:v>433</x:v>
      </x:c>
      <x:c r="H198" s="12" t="n">
        <x:v>100</x:v>
      </x:c>
      <x:c r="I198" s="12" t="n">
        <x:v>210</x:v>
      </x:c>
      <x:c r="J198" s="12" t="n">
        <x:v>123</x:v>
      </x:c>
      <x:c r="K198" s="12" t="n">
        <x:f>IF(D198="A",5,0)</x:f>
        <x:v>0</x:v>
      </x:c>
    </x:row>
    <x:row r="199" ht="30" customHeight="1">
      <x:c r="A199" s="11" t="n">
        <x:f>RANK.EQ(G199,$G$2:$G$523,0)</x:f>
        <x:v>198</x:v>
      </x:c>
      <x:c r="B199" s="7" t="str">
        <x:v>HE-004</x:v>
      </x:c>
      <x:c r="C199" s="7" t="str">
        <x:v>HE</x:v>
      </x:c>
      <x:c r="D199" s="7" t="str">
        <x:v>A</x:v>
      </x:c>
      <x:c r="E199" s="8" t="str">
        <x:v>何冠泽</x:v>
      </x:c>
      <x:c r="F199" s="10" t="str">
        <x:v>衡水滏阳中学</x:v>
      </x:c>
      <x:c r="G199" s="12" t="n">
        <x:f>SUM(H199:J199)+K199</x:f>
        <x:v>432</x:v>
      </x:c>
      <x:c r="H199" s="12" t="n">
        <x:v>100</x:v>
      </x:c>
      <x:c r="I199" s="12" t="n">
        <x:v>199</x:v>
      </x:c>
      <x:c r="J199" s="12" t="n">
        <x:v>128</x:v>
      </x:c>
      <x:c r="K199" s="12" t="n">
        <x:f>IF(D199="A",5,0)</x:f>
        <x:v>5</x:v>
      </x:c>
    </x:row>
    <x:row r="200" ht="30" customHeight="1">
      <x:c r="A200" s="11" t="n">
        <x:f>RANK.EQ(G200,$G$2:$G$523,0)</x:f>
        <x:v>198</x:v>
      </x:c>
      <x:c r="B200" s="7" t="str">
        <x:v>SD-021</x:v>
      </x:c>
      <x:c r="C200" s="7" t="str">
        <x:v>SD</x:v>
      </x:c>
      <x:c r="D200" s="7" t="str">
        <x:v>B</x:v>
      </x:c>
      <x:c r="E200" s="8" t="str">
        <x:v>于松鑫</x:v>
      </x:c>
      <x:c r="F200" s="10" t="str">
        <x:v>山东省平邑第一中学</x:v>
      </x:c>
      <x:c r="G200" s="12" t="n">
        <x:f>SUM(H200:J200)+K200</x:f>
        <x:v>432</x:v>
      </x:c>
      <x:c r="H200" s="12" t="n">
        <x:v>100</x:v>
      </x:c>
      <x:c r="I200" s="12" t="n">
        <x:v>196</x:v>
      </x:c>
      <x:c r="J200" s="12" t="n">
        <x:v>136</x:v>
      </x:c>
      <x:c r="K200" s="12" t="n">
        <x:f>IF(D200="A",5,0)</x:f>
        <x:v>0</x:v>
      </x:c>
    </x:row>
    <x:row r="201" ht="30" customHeight="1">
      <x:c r="A201" s="11" t="n">
        <x:f>RANK.EQ(G201,$G$2:$G$523,0)</x:f>
        <x:v>198</x:v>
      </x:c>
      <x:c r="B201" s="7" t="str">
        <x:v>SH-023</x:v>
      </x:c>
      <x:c r="C201" s="7" t="str">
        <x:v>SH</x:v>
      </x:c>
      <x:c r="D201" s="7" t="str">
        <x:v>D</x:v>
      </x:c>
      <x:c r="E201" s="8" t="str">
        <x:v>刘镇豪</x:v>
      </x:c>
      <x:c r="F201" s="10" t="str">
        <x:v>上海外国语大学附属外国语学校</x:v>
      </x:c>
      <x:c r="G201" s="12" t="n">
        <x:f>SUM(H201:J201)+K201</x:f>
        <x:v>432</x:v>
      </x:c>
      <x:c r="H201" s="12" t="n">
        <x:v>100</x:v>
      </x:c>
      <x:c r="I201" s="12" t="n">
        <x:v>208</x:v>
      </x:c>
      <x:c r="J201" s="12" t="n">
        <x:v>124</x:v>
      </x:c>
      <x:c r="K201" s="12" t="n">
        <x:f>IF(D201="A",5,0)</x:f>
        <x:v>0</x:v>
      </x:c>
    </x:row>
    <x:row r="202" ht="30" customHeight="1">
      <x:c r="A202" s="11" t="n">
        <x:f>RANK.EQ(G202,$G$2:$G$523,0)</x:f>
        <x:v>201</x:v>
      </x:c>
      <x:c r="B202" s="7" t="str">
        <x:v>CQ-029</x:v>
      </x:c>
      <x:c r="C202" s="7" t="str">
        <x:v>CQ</x:v>
      </x:c>
      <x:c r="D202" s="7" t="str">
        <x:v>E</x:v>
      </x:c>
      <x:c r="E202" s="8" t="str">
        <x:v>彭悠洋</x:v>
      </x:c>
      <x:c r="F202" s="10" t="str">
        <x:v>重庆市育才中学校</x:v>
      </x:c>
      <x:c r="G202" s="12" t="n">
        <x:f>SUM(H202:J202)+K202</x:f>
        <x:v>431</x:v>
      </x:c>
      <x:c r="H202" s="12" t="n">
        <x:v>100</x:v>
      </x:c>
      <x:c r="I202" s="12" t="n">
        <x:v>195</x:v>
      </x:c>
      <x:c r="J202" s="12" t="n">
        <x:v>136</x:v>
      </x:c>
      <x:c r="K202" s="12" t="n">
        <x:f>IF(D202="A",5,0)</x:f>
        <x:v>0</x:v>
      </x:c>
    </x:row>
    <x:row r="203" ht="30" customHeight="1">
      <x:c r="A203" s="11" t="n">
        <x:f>RANK.EQ(G203,$G$2:$G$523,0)</x:f>
        <x:v>201</x:v>
      </x:c>
      <x:c r="B203" s="7" t="str">
        <x:v>HA-002</x:v>
      </x:c>
      <x:c r="C203" s="7" t="str">
        <x:v>HA</x:v>
      </x:c>
      <x:c r="D203" s="7" t="str">
        <x:v>A</x:v>
      </x:c>
      <x:c r="E203" s="8" t="str">
        <x:v>贾孟澄</x:v>
      </x:c>
      <x:c r="F203" s="10" t="str">
        <x:v>郑州外国语新枫杨学校</x:v>
      </x:c>
      <x:c r="G203" s="12" t="n">
        <x:f>SUM(H203:J203)+K203</x:f>
        <x:v>431</x:v>
      </x:c>
      <x:c r="H203" s="12" t="n">
        <x:v>100</x:v>
      </x:c>
      <x:c r="I203" s="12" t="n">
        <x:v>174</x:v>
      </x:c>
      <x:c r="J203" s="12" t="n">
        <x:v>152</x:v>
      </x:c>
      <x:c r="K203" s="12" t="n">
        <x:f>IF(D203="A",5,0)</x:f>
        <x:v>5</x:v>
      </x:c>
    </x:row>
    <x:row r="204" ht="30" customHeight="1">
      <x:c r="A204" s="11" t="n">
        <x:f>RANK.EQ(G204,$G$2:$G$523,0)</x:f>
        <x:v>201</x:v>
      </x:c>
      <x:c r="B204" s="7" t="str">
        <x:v>SD-036</x:v>
      </x:c>
      <x:c r="C204" s="7" t="str">
        <x:v>SD</x:v>
      </x:c>
      <x:c r="D204" s="7" t="str">
        <x:v>D</x:v>
      </x:c>
      <x:c r="E204" s="8" t="str">
        <x:v>仲沛霖</x:v>
      </x:c>
      <x:c r="F204" s="10" t="str">
        <x:v>山东省平邑第一中学</x:v>
      </x:c>
      <x:c r="G204" s="12" t="n">
        <x:f>SUM(H204:J204)+K204</x:f>
        <x:v>431</x:v>
      </x:c>
      <x:c r="H204" s="12" t="n">
        <x:v>100</x:v>
      </x:c>
      <x:c r="I204" s="12" t="n">
        <x:v>217</x:v>
      </x:c>
      <x:c r="J204" s="12" t="n">
        <x:v>114</x:v>
      </x:c>
      <x:c r="K204" s="12" t="n">
        <x:f>IF(D204="A",5,0)</x:f>
        <x:v>0</x:v>
      </x:c>
    </x:row>
    <x:row r="205" ht="30" customHeight="1">
      <x:c r="A205" s="11" t="n">
        <x:f>RANK.EQ(G205,$G$2:$G$523,0)</x:f>
        <x:v>204</x:v>
      </x:c>
      <x:c r="B205" s="7" t="str">
        <x:v>SN-003</x:v>
      </x:c>
      <x:c r="C205" s="7" t="str">
        <x:v>SN</x:v>
      </x:c>
      <x:c r="D205" s="7" t="str">
        <x:v>A</x:v>
      </x:c>
      <x:c r="E205" s="8" t="str">
        <x:v>丁一宸</x:v>
      </x:c>
      <x:c r="F205" s="10" t="str">
        <x:v>西安高新第一中学</x:v>
      </x:c>
      <x:c r="G205" s="12" t="n">
        <x:f>SUM(H205:J205)+K205</x:f>
        <x:v>430</x:v>
      </x:c>
      <x:c r="H205" s="12" t="n">
        <x:v>100</x:v>
      </x:c>
      <x:c r="I205" s="12" t="n">
        <x:v>223</x:v>
      </x:c>
      <x:c r="J205" s="12" t="n">
        <x:v>102</x:v>
      </x:c>
      <x:c r="K205" s="12" t="n">
        <x:f>IF(D205="A",5,0)</x:f>
        <x:v>5</x:v>
      </x:c>
    </x:row>
    <x:row r="206" ht="30" customHeight="1">
      <x:c r="A206" s="11" t="n">
        <x:f>RANK.EQ(G206,$G$2:$G$523,0)</x:f>
        <x:v>205</x:v>
      </x:c>
      <x:c r="B206" s="7" t="str">
        <x:v>GD-005</x:v>
      </x:c>
      <x:c r="C206" s="7" t="str">
        <x:v>GD</x:v>
      </x:c>
      <x:c r="D206" s="7" t="str">
        <x:v>A</x:v>
      </x:c>
      <x:c r="E206" s="8" t="str">
        <x:v>刘君仪</x:v>
      </x:c>
      <x:c r="F206" s="10" t="str">
        <x:v>广州大学附属中学</x:v>
      </x:c>
      <x:c r="G206" s="12" t="n">
        <x:f>SUM(H206:J206)+K206</x:f>
        <x:v>429</x:v>
      </x:c>
      <x:c r="H206" s="12" t="n">
        <x:v>100</x:v>
      </x:c>
      <x:c r="I206" s="12" t="n">
        <x:v>176</x:v>
      </x:c>
      <x:c r="J206" s="12" t="n">
        <x:v>148</x:v>
      </x:c>
      <x:c r="K206" s="12" t="n">
        <x:f>IF(D206="A",5,0)</x:f>
        <x:v>5</x:v>
      </x:c>
    </x:row>
    <x:row r="207" ht="30" customHeight="1">
      <x:c r="A207" s="11" t="n">
        <x:f>RANK.EQ(G207,$G$2:$G$523,0)</x:f>
        <x:v>205</x:v>
      </x:c>
      <x:c r="B207" s="7" t="str">
        <x:v>GD-031</x:v>
      </x:c>
      <x:c r="C207" s="7" t="str">
        <x:v>GD</x:v>
      </x:c>
      <x:c r="D207" s="7" t="str">
        <x:v>D</x:v>
      </x:c>
      <x:c r="E207" s="8" t="str">
        <x:v>祝钰杰</x:v>
      </x:c>
      <x:c r="F207" s="10" t="str">
        <x:v>深圳中学</x:v>
      </x:c>
      <x:c r="G207" s="12" t="n">
        <x:f>SUM(H207:J207)+K207</x:f>
        <x:v>429</x:v>
      </x:c>
      <x:c r="H207" s="12" t="n">
        <x:v>99</x:v>
      </x:c>
      <x:c r="I207" s="12" t="n">
        <x:v>204</x:v>
      </x:c>
      <x:c r="J207" s="12" t="n">
        <x:v>126</x:v>
      </x:c>
      <x:c r="K207" s="12" t="n">
        <x:f>IF(D207="A",5,0)</x:f>
        <x:v>0</x:v>
      </x:c>
    </x:row>
    <x:row r="208" ht="30" customHeight="1">
      <x:c r="A208" s="11" t="n">
        <x:f>RANK.EQ(G208,$G$2:$G$523,0)</x:f>
        <x:v>205</x:v>
      </x:c>
      <x:c r="B208" s="7" t="str">
        <x:v>GZ-004</x:v>
      </x:c>
      <x:c r="C208" s="7" t="str">
        <x:v>GZ</x:v>
      </x:c>
      <x:c r="D208" s="7" t="str">
        <x:v>A</x:v>
      </x:c>
      <x:c r="E208" s="8" t="str">
        <x:v>甘梓辰</x:v>
      </x:c>
      <x:c r="F208" s="10" t="str">
        <x:v>贵阳市第一中学</x:v>
      </x:c>
      <x:c r="G208" s="12" t="n">
        <x:f>SUM(H208:J208)+K208</x:f>
        <x:v>429</x:v>
      </x:c>
      <x:c r="H208" s="12" t="n">
        <x:v>100</x:v>
      </x:c>
      <x:c r="I208" s="12" t="n">
        <x:v>188</x:v>
      </x:c>
      <x:c r="J208" s="12" t="n">
        <x:v>136</x:v>
      </x:c>
      <x:c r="K208" s="12" t="n">
        <x:f>IF(D208="A",5,0)</x:f>
        <x:v>5</x:v>
      </x:c>
    </x:row>
    <x:row r="209" ht="30" customHeight="1">
      <x:c r="A209" s="11" t="n">
        <x:f>RANK.EQ(G209,$G$2:$G$523,0)</x:f>
        <x:v>205</x:v>
      </x:c>
      <x:c r="B209" s="7" t="str">
        <x:v>HN-007</x:v>
      </x:c>
      <x:c r="C209" s="7" t="str">
        <x:v>HN</x:v>
      </x:c>
      <x:c r="D209" s="7" t="str">
        <x:v>B</x:v>
      </x:c>
      <x:c r="E209" s="8" t="str">
        <x:v>宁梓钦</x:v>
      </x:c>
      <x:c r="F209" s="10" t="str">
        <x:v>长沙市雅礼中学</x:v>
      </x:c>
      <x:c r="G209" s="12" t="n">
        <x:f>SUM(H209:J209)+K209</x:f>
        <x:v>429</x:v>
      </x:c>
      <x:c r="H209" s="12" t="n">
        <x:v>100</x:v>
      </x:c>
      <x:c r="I209" s="12" t="n">
        <x:v>226</x:v>
      </x:c>
      <x:c r="J209" s="12" t="n">
        <x:v>103</x:v>
      </x:c>
      <x:c r="K209" s="12" t="n">
        <x:f>IF(D209="A",5,0)</x:f>
        <x:v>0</x:v>
      </x:c>
    </x:row>
    <x:row r="210" ht="30" customHeight="1">
      <x:c r="A210" s="11" t="n">
        <x:f>RANK.EQ(G210,$G$2:$G$523,0)</x:f>
        <x:v>205</x:v>
      </x:c>
      <x:c r="B210" s="7" t="str">
        <x:v>JX-002</x:v>
      </x:c>
      <x:c r="C210" s="7" t="str">
        <x:v>JX</x:v>
      </x:c>
      <x:c r="D210" s="7" t="str">
        <x:v>A</x:v>
      </x:c>
      <x:c r="E210" s="8" t="str">
        <x:v>王梓沣</x:v>
      </x:c>
      <x:c r="F210" s="10" t="str">
        <x:v>江西科技学院附属中学</x:v>
      </x:c>
      <x:c r="G210" s="12" t="n">
        <x:f>SUM(H210:J210)+K210</x:f>
        <x:v>429</x:v>
      </x:c>
      <x:c r="H210" s="12" t="n">
        <x:v>100</x:v>
      </x:c>
      <x:c r="I210" s="12" t="n">
        <x:v>196</x:v>
      </x:c>
      <x:c r="J210" s="12" t="n">
        <x:v>128</x:v>
      </x:c>
      <x:c r="K210" s="12" t="n">
        <x:f>IF(D210="A",5,0)</x:f>
        <x:v>5</x:v>
      </x:c>
    </x:row>
    <x:row r="211" ht="30" customHeight="1">
      <x:c r="A211" s="11" t="n">
        <x:f>RANK.EQ(G211,$G$2:$G$523,0)</x:f>
        <x:v>205</x:v>
      </x:c>
      <x:c r="B211" s="7" t="str">
        <x:v>SH-024</x:v>
      </x:c>
      <x:c r="C211" s="7" t="str">
        <x:v>SH</x:v>
      </x:c>
      <x:c r="D211" s="7" t="str">
        <x:v>D</x:v>
      </x:c>
      <x:c r="E211" s="8" t="str">
        <x:v>邵南</x:v>
      </x:c>
      <x:c r="F211" s="10" t="str">
        <x:v>上海外国语大学附属外国语学校</x:v>
      </x:c>
      <x:c r="G211" s="12" t="n">
        <x:f>SUM(H211:J211)+K211</x:f>
        <x:v>429</x:v>
      </x:c>
      <x:c r="H211" s="12" t="n">
        <x:v>100</x:v>
      </x:c>
      <x:c r="I211" s="12" t="n">
        <x:v>193</x:v>
      </x:c>
      <x:c r="J211" s="12" t="n">
        <x:v>136</x:v>
      </x:c>
      <x:c r="K211" s="12" t="n">
        <x:f>IF(D211="A",5,0)</x:f>
        <x:v>0</x:v>
      </x:c>
    </x:row>
    <x:row r="212" ht="30" customHeight="1">
      <x:c r="A212" s="11" t="n">
        <x:f>RANK.EQ(G212,$G$2:$G$523,0)</x:f>
        <x:v>211</x:v>
      </x:c>
      <x:c r="B212" s="7" t="str">
        <x:v>AH-004</x:v>
      </x:c>
      <x:c r="C212" s="7" t="str">
        <x:v>AH</x:v>
      </x:c>
      <x:c r="D212" s="7" t="str">
        <x:v>A</x:v>
      </x:c>
      <x:c r="E212" s="8" t="str">
        <x:v>李天麟</x:v>
      </x:c>
      <x:c r="F212" s="10" t="str">
        <x:v>安徽省阜阳第一中学</x:v>
      </x:c>
      <x:c r="G212" s="12" t="n">
        <x:f>SUM(H212:J212)+K212</x:f>
        <x:v>428</x:v>
      </x:c>
      <x:c r="H212" s="12" t="n">
        <x:v>100</x:v>
      </x:c>
      <x:c r="I212" s="12" t="n">
        <x:v>192</x:v>
      </x:c>
      <x:c r="J212" s="12" t="n">
        <x:v>131</x:v>
      </x:c>
      <x:c r="K212" s="12" t="n">
        <x:f>IF(D212="A",5,0)</x:f>
        <x:v>5</x:v>
      </x:c>
    </x:row>
    <x:row r="213" ht="30" customHeight="1">
      <x:c r="A213" s="11" t="n">
        <x:f>RANK.EQ(G213,$G$2:$G$523,0)</x:f>
        <x:v>211</x:v>
      </x:c>
      <x:c r="B213" s="7" t="str">
        <x:v>JS-009</x:v>
      </x:c>
      <x:c r="C213" s="7" t="str">
        <x:v>JS</x:v>
      </x:c>
      <x:c r="D213" s="7" t="str">
        <x:v>B</x:v>
      </x:c>
      <x:c r="E213" s="8" t="str">
        <x:v>邢苏瞳</x:v>
      </x:c>
      <x:c r="F213" s="10" t="str">
        <x:v>江苏省天一中学</x:v>
      </x:c>
      <x:c r="G213" s="12" t="n">
        <x:f>SUM(H213:J213)+K213</x:f>
        <x:v>428</x:v>
      </x:c>
      <x:c r="H213" s="12" t="n">
        <x:v>100</x:v>
      </x:c>
      <x:c r="I213" s="12" t="n">
        <x:v>200</x:v>
      </x:c>
      <x:c r="J213" s="12" t="n">
        <x:v>128</x:v>
      </x:c>
      <x:c r="K213" s="12" t="n">
        <x:f>IF(D213="A",5,0)</x:f>
        <x:v>0</x:v>
      </x:c>
    </x:row>
    <x:row r="214" ht="30" customHeight="1">
      <x:c r="A214" s="11" t="n">
        <x:f>RANK.EQ(G214,$G$2:$G$523,0)</x:f>
        <x:v>211</x:v>
      </x:c>
      <x:c r="B214" s="7" t="str">
        <x:v>SH-009</x:v>
      </x:c>
      <x:c r="C214" s="7" t="str">
        <x:v>SH</x:v>
      </x:c>
      <x:c r="D214" s="7" t="str">
        <x:v>B</x:v>
      </x:c>
      <x:c r="E214" s="8" t="str">
        <x:v>孙楷洹</x:v>
      </x:c>
      <x:c r="F214" s="10" t="str">
        <x:v>华东师范大学第二附属中学</x:v>
      </x:c>
      <x:c r="G214" s="12" t="n">
        <x:f>SUM(H214:J214)+K214</x:f>
        <x:v>428</x:v>
      </x:c>
      <x:c r="H214" s="12" t="n">
        <x:v>100</x:v>
      </x:c>
      <x:c r="I214" s="12" t="n">
        <x:v>228</x:v>
      </x:c>
      <x:c r="J214" s="12" t="n">
        <x:v>100</x:v>
      </x:c>
      <x:c r="K214" s="12" t="n">
        <x:f>IF(D214="A",5,0)</x:f>
        <x:v>0</x:v>
      </x:c>
    </x:row>
    <x:row r="215" ht="30" customHeight="1">
      <x:c r="A215" s="11" t="n">
        <x:f>RANK.EQ(G215,$G$2:$G$523,0)</x:f>
        <x:v>214</x:v>
      </x:c>
      <x:c r="B215" s="7" t="str">
        <x:v>BJ-011</x:v>
      </x:c>
      <x:c r="C215" s="7" t="str">
        <x:v>BJ</x:v>
      </x:c>
      <x:c r="D215" s="7" t="str">
        <x:v>B</x:v>
      </x:c>
      <x:c r="E215" s="8" t="str">
        <x:v>黄子怀</x:v>
      </x:c>
      <x:c r="F215" s="10" t="str">
        <x:v>北京大学附属中学</x:v>
      </x:c>
      <x:c r="G215" s="12" t="n">
        <x:f>SUM(H215:J215)+K215</x:f>
        <x:v>427</x:v>
      </x:c>
      <x:c r="H215" s="12" t="n">
        <x:v>100</x:v>
      </x:c>
      <x:c r="I215" s="12" t="n">
        <x:v>195</x:v>
      </x:c>
      <x:c r="J215" s="12" t="n">
        <x:v>132</x:v>
      </x:c>
      <x:c r="K215" s="12" t="n">
        <x:f>IF(D215="A",5,0)</x:f>
        <x:v>0</x:v>
      </x:c>
    </x:row>
    <x:row r="216" ht="30" customHeight="1">
      <x:c r="A216" s="11" t="n">
        <x:f>RANK.EQ(G216,$G$2:$G$523,0)</x:f>
        <x:v>214</x:v>
      </x:c>
      <x:c r="B216" s="7" t="str">
        <x:v>JS-023</x:v>
      </x:c>
      <x:c r="C216" s="7" t="str">
        <x:v>JS</x:v>
      </x:c>
      <x:c r="D216" s="7" t="str">
        <x:v>D</x:v>
      </x:c>
      <x:c r="E216" s="8" t="str">
        <x:v>戴砚青</x:v>
      </x:c>
      <x:c r="F216" s="10" t="str">
        <x:v>南京师范大学附属中学</x:v>
      </x:c>
      <x:c r="G216" s="12" t="n">
        <x:f>SUM(H216:J216)+K216</x:f>
        <x:v>427</x:v>
      </x:c>
      <x:c r="H216" s="12" t="n">
        <x:v>100</x:v>
      </x:c>
      <x:c r="I216" s="12" t="n">
        <x:v>183</x:v>
      </x:c>
      <x:c r="J216" s="12" t="n">
        <x:v>144</x:v>
      </x:c>
      <x:c r="K216" s="12" t="n">
        <x:f>IF(D216="A",5,0)</x:f>
        <x:v>0</x:v>
      </x:c>
    </x:row>
    <x:row r="217" ht="30" customHeight="1">
      <x:c r="A217" s="11" t="n">
        <x:f>RANK.EQ(G217,$G$2:$G$523,0)</x:f>
        <x:v>214</x:v>
      </x:c>
      <x:c r="B217" s="7" t="str">
        <x:v>LN-002</x:v>
      </x:c>
      <x:c r="C217" s="7" t="str">
        <x:v>LN</x:v>
      </x:c>
      <x:c r="D217" s="7" t="str">
        <x:v>A</x:v>
      </x:c>
      <x:c r="E217" s="8" t="str">
        <x:v>白晏宁</x:v>
      </x:c>
      <x:c r="F217" s="10" t="str">
        <x:v>辽宁省实验中学</x:v>
      </x:c>
      <x:c r="G217" s="12" t="n">
        <x:f>SUM(H217:J217)+K217</x:f>
        <x:v>427</x:v>
      </x:c>
      <x:c r="H217" s="12" t="n">
        <x:v>100</x:v>
      </x:c>
      <x:c r="I217" s="12" t="n">
        <x:v>190</x:v>
      </x:c>
      <x:c r="J217" s="12" t="n">
        <x:v>132</x:v>
      </x:c>
      <x:c r="K217" s="12" t="n">
        <x:f>IF(D217="A",5,0)</x:f>
        <x:v>5</x:v>
      </x:c>
    </x:row>
    <x:row r="218" ht="30" customHeight="1">
      <x:c r="A218" s="11" t="n">
        <x:f>RANK.EQ(G218,$G$2:$G$523,0)</x:f>
        <x:v>217</x:v>
      </x:c>
      <x:c r="B218" s="7" t="str">
        <x:v>SH-022</x:v>
      </x:c>
      <x:c r="C218" s="7" t="str">
        <x:v>SH</x:v>
      </x:c>
      <x:c r="D218" s="7" t="str">
        <x:v>D</x:v>
      </x:c>
      <x:c r="E218" s="8" t="str">
        <x:v>徐琮皓</x:v>
      </x:c>
      <x:c r="F218" s="10" t="str">
        <x:v>上海市上海中学</x:v>
      </x:c>
      <x:c r="G218" s="12" t="n">
        <x:f>SUM(H218:J218)+K218</x:f>
        <x:v>426</x:v>
      </x:c>
      <x:c r="H218" s="12" t="n">
        <x:v>100</x:v>
      </x:c>
      <x:c r="I218" s="12" t="n">
        <x:v>186</x:v>
      </x:c>
      <x:c r="J218" s="12" t="n">
        <x:v>140</x:v>
      </x:c>
      <x:c r="K218" s="12" t="n">
        <x:f>IF(D218="A",5,0)</x:f>
        <x:v>0</x:v>
      </x:c>
    </x:row>
    <x:row r="219" ht="30" customHeight="1">
      <x:c r="A219" s="11" t="n">
        <x:f>RANK.EQ(G219,$G$2:$G$523,0)</x:f>
        <x:v>217</x:v>
      </x:c>
      <x:c r="B219" s="7" t="str">
        <x:v>ZJ-026</x:v>
      </x:c>
      <x:c r="C219" s="7" t="str">
        <x:v>ZJ</x:v>
      </x:c>
      <x:c r="D219" s="7" t="str">
        <x:v>D</x:v>
      </x:c>
      <x:c r="E219" s="8" t="str">
        <x:v>姜林</x:v>
      </x:c>
      <x:c r="F219" s="10" t="str">
        <x:v>浙江省临安中学</x:v>
      </x:c>
      <x:c r="G219" s="12" t="n">
        <x:f>SUM(H219:J219)+K219</x:f>
        <x:v>426</x:v>
      </x:c>
      <x:c r="H219" s="12" t="n">
        <x:v>100</x:v>
      </x:c>
      <x:c r="I219" s="12" t="n">
        <x:v>190</x:v>
      </x:c>
      <x:c r="J219" s="12" t="n">
        <x:v>136</x:v>
      </x:c>
      <x:c r="K219" s="12" t="n">
        <x:f>IF(D219="A",5,0)</x:f>
        <x:v>0</x:v>
      </x:c>
    </x:row>
    <x:row r="220" ht="30" customHeight="1">
      <x:c r="A220" s="11" t="n">
        <x:f>RANK.EQ(G220,$G$2:$G$523,0)</x:f>
        <x:v>219</x:v>
      </x:c>
      <x:c r="B220" s="7" t="str">
        <x:v>ZJ-014</x:v>
      </x:c>
      <x:c r="C220" s="7" t="str">
        <x:v>ZJ</x:v>
      </x:c>
      <x:c r="D220" s="7" t="str">
        <x:v>B</x:v>
      </x:c>
      <x:c r="E220" s="8" t="str">
        <x:v>杨添盛</x:v>
      </x:c>
      <x:c r="F220" s="10" t="str">
        <x:v>宁波市镇海蛟川书院</x:v>
      </x:c>
      <x:c r="G220" s="12" t="n">
        <x:f>SUM(H220:J220)+K220</x:f>
        <x:v>425</x:v>
      </x:c>
      <x:c r="H220" s="12" t="n">
        <x:v>100</x:v>
      </x:c>
      <x:c r="I220" s="12" t="n">
        <x:v>210</x:v>
      </x:c>
      <x:c r="J220" s="12" t="n">
        <x:v>115</x:v>
      </x:c>
      <x:c r="K220" s="12" t="n">
        <x:f>IF(D220="A",5,0)</x:f>
        <x:v>0</x:v>
      </x:c>
    </x:row>
    <x:row r="221" ht="30" customHeight="1">
      <x:c r="A221" s="11" t="n">
        <x:f>RANK.EQ(G221,$G$2:$G$523,0)</x:f>
        <x:v>220</x:v>
      </x:c>
      <x:c r="B221" s="7" t="str">
        <x:v>JS-025</x:v>
      </x:c>
      <x:c r="C221" s="7" t="str">
        <x:v>JS</x:v>
      </x:c>
      <x:c r="D221" s="7" t="str">
        <x:v>D</x:v>
      </x:c>
      <x:c r="E221" s="8" t="str">
        <x:v>陈聂</x:v>
      </x:c>
      <x:c r="F221" s="10" t="str">
        <x:v>南京市第一中学</x:v>
      </x:c>
      <x:c r="G221" s="12" t="n">
        <x:f>SUM(H221:J221)+K221</x:f>
        <x:v>423</x:v>
      </x:c>
      <x:c r="H221" s="12" t="n">
        <x:v>100</x:v>
      </x:c>
      <x:c r="I221" s="12" t="n">
        <x:v>200</x:v>
      </x:c>
      <x:c r="J221" s="12" t="n">
        <x:v>123</x:v>
      </x:c>
      <x:c r="K221" s="12" t="n">
        <x:f>IF(D221="A",5,0)</x:f>
        <x:v>0</x:v>
      </x:c>
    </x:row>
    <x:row r="222" ht="30" customHeight="1">
      <x:c r="A222" s="11" t="n">
        <x:f>RANK.EQ(G222,$G$2:$G$523,0)</x:f>
        <x:v>220</x:v>
      </x:c>
      <x:c r="B222" s="7" t="str">
        <x:v>SC-027</x:v>
      </x:c>
      <x:c r="C222" s="7" t="str">
        <x:v>SC</x:v>
      </x:c>
      <x:c r="D222" s="7" t="str">
        <x:v>D</x:v>
      </x:c>
      <x:c r="E222" s="8" t="str">
        <x:v>祝晨耀</x:v>
      </x:c>
      <x:c r="F222" s="10" t="str">
        <x:v>成都外国语学校</x:v>
      </x:c>
      <x:c r="G222" s="12" t="n">
        <x:f>SUM(H222:J222)+K222</x:f>
        <x:v>423</x:v>
      </x:c>
      <x:c r="H222" s="12" t="n">
        <x:v>100</x:v>
      </x:c>
      <x:c r="I222" s="12" t="n">
        <x:v>171</x:v>
      </x:c>
      <x:c r="J222" s="12" t="n">
        <x:v>152</x:v>
      </x:c>
      <x:c r="K222" s="12" t="n">
        <x:f>IF(D222="A",5,0)</x:f>
        <x:v>0</x:v>
      </x:c>
    </x:row>
    <x:row r="223" ht="30" customHeight="1">
      <x:c r="A223" s="11" t="n">
        <x:f>RANK.EQ(G223,$G$2:$G$523,0)</x:f>
        <x:v>222</x:v>
      </x:c>
      <x:c r="B223" s="7" t="str">
        <x:v>BJ-030</x:v>
      </x:c>
      <x:c r="C223" s="7" t="str">
        <x:v>BJ</x:v>
      </x:c>
      <x:c r="D223" s="7" t="str">
        <x:v>D</x:v>
      </x:c>
      <x:c r="E223" s="8" t="str">
        <x:v>李京徽</x:v>
      </x:c>
      <x:c r="F223" s="10" t="str">
        <x:v>首都师范大学附属中学</x:v>
      </x:c>
      <x:c r="G223" s="12" t="n">
        <x:f>SUM(H223:J223)+K223</x:f>
        <x:v>422</x:v>
      </x:c>
      <x:c r="H223" s="12" t="n">
        <x:v>100</x:v>
      </x:c>
      <x:c r="I223" s="12" t="n">
        <x:v>198</x:v>
      </x:c>
      <x:c r="J223" s="12" t="n">
        <x:v>124</x:v>
      </x:c>
      <x:c r="K223" s="12" t="n">
        <x:f>IF(D223="A",5,0)</x:f>
        <x:v>0</x:v>
      </x:c>
    </x:row>
    <x:row r="224" ht="30" customHeight="1">
      <x:c r="A224" s="11" t="n">
        <x:f>RANK.EQ(G224,$G$2:$G$523,0)</x:f>
        <x:v>222</x:v>
      </x:c>
      <x:c r="B224" s="7" t="str">
        <x:v>FJ-007</x:v>
      </x:c>
      <x:c r="C224" s="7" t="str">
        <x:v>FJ</x:v>
      </x:c>
      <x:c r="D224" s="7" t="str">
        <x:v>B</x:v>
      </x:c>
      <x:c r="E224" s="8" t="str">
        <x:v>谢承翊</x:v>
      </x:c>
      <x:c r="F224" s="10" t="str">
        <x:v>福建省福州第一中学</x:v>
      </x:c>
      <x:c r="G224" s="12" t="n">
        <x:f>SUM(H224:J224)+K224</x:f>
        <x:v>422</x:v>
      </x:c>
      <x:c r="H224" s="12" t="n">
        <x:v>100</x:v>
      </x:c>
      <x:c r="I224" s="12" t="n">
        <x:v>170</x:v>
      </x:c>
      <x:c r="J224" s="12" t="n">
        <x:v>152</x:v>
      </x:c>
      <x:c r="K224" s="12" t="n">
        <x:f>IF(D224="A",5,0)</x:f>
        <x:v>0</x:v>
      </x:c>
    </x:row>
    <x:row r="225" ht="30" customHeight="1">
      <x:c r="A225" s="11" t="n">
        <x:f>RANK.EQ(G225,$G$2:$G$523,0)</x:f>
        <x:v>222</x:v>
      </x:c>
      <x:c r="B225" s="7" t="str">
        <x:v>LN-001</x:v>
      </x:c>
      <x:c r="C225" s="7" t="str">
        <x:v>LN</x:v>
      </x:c>
      <x:c r="D225" s="7" t="str">
        <x:v>A</x:v>
      </x:c>
      <x:c r="E225" s="8" t="str">
        <x:v>李宇祁</x:v>
      </x:c>
      <x:c r="F225" s="10" t="str">
        <x:v>东北育才学校</x:v>
      </x:c>
      <x:c r="G225" s="12" t="n">
        <x:f>SUM(H225:J225)+K225</x:f>
        <x:v>422</x:v>
      </x:c>
      <x:c r="H225" s="12" t="n">
        <x:v>100</x:v>
      </x:c>
      <x:c r="I225" s="12" t="n">
        <x:v>200</x:v>
      </x:c>
      <x:c r="J225" s="12" t="n">
        <x:v>117</x:v>
      </x:c>
      <x:c r="K225" s="12" t="n">
        <x:f>IF(D225="A",5,0)</x:f>
        <x:v>5</x:v>
      </x:c>
    </x:row>
    <x:row r="226" ht="30" customHeight="1">
      <x:c r="A226" s="11" t="n">
        <x:f>RANK.EQ(G226,$G$2:$G$523,0)</x:f>
        <x:v>225</x:v>
      </x:c>
      <x:c r="B226" s="7" t="str">
        <x:v>SC-024</x:v>
      </x:c>
      <x:c r="C226" s="7" t="str">
        <x:v>SC</x:v>
      </x:c>
      <x:c r="D226" s="7" t="str">
        <x:v>D</x:v>
      </x:c>
      <x:c r="E226" s="8" t="str">
        <x:v>张逸弛</x:v>
      </x:c>
      <x:c r="F226" s="10" t="str">
        <x:v>四川省成都市第七中学</x:v>
      </x:c>
      <x:c r="G226" s="12" t="n">
        <x:f>SUM(H226:J226)+K226</x:f>
        <x:v>421</x:v>
      </x:c>
      <x:c r="H226" s="12" t="n">
        <x:v>100</x:v>
      </x:c>
      <x:c r="I226" s="12" t="n">
        <x:v>189</x:v>
      </x:c>
      <x:c r="J226" s="12" t="n">
        <x:v>132</x:v>
      </x:c>
      <x:c r="K226" s="12" t="n">
        <x:f>IF(D226="A",5,0)</x:f>
        <x:v>0</x:v>
      </x:c>
    </x:row>
    <x:row r="227" ht="30" customHeight="1">
      <x:c r="A227" s="11" t="n">
        <x:f>RANK.EQ(G227,$G$2:$G$523,0)</x:f>
        <x:v>225</x:v>
      </x:c>
      <x:c r="B227" s="7" t="str">
        <x:v>SD-011</x:v>
      </x:c>
      <x:c r="C227" s="7" t="str">
        <x:v>SD</x:v>
      </x:c>
      <x:c r="D227" s="7" t="str">
        <x:v>B</x:v>
      </x:c>
      <x:c r="E227" s="8" t="str">
        <x:v>韩佳航</x:v>
      </x:c>
      <x:c r="F227" s="10" t="str">
        <x:v>济南市历城第二中学</x:v>
      </x:c>
      <x:c r="G227" s="12" t="n">
        <x:f>SUM(H227:J227)+K227</x:f>
        <x:v>421</x:v>
      </x:c>
      <x:c r="H227" s="12" t="n">
        <x:v>100</x:v>
      </x:c>
      <x:c r="I227" s="12" t="n">
        <x:v>202</x:v>
      </x:c>
      <x:c r="J227" s="12" t="n">
        <x:v>119</x:v>
      </x:c>
      <x:c r="K227" s="12" t="n">
        <x:f>IF(D227="A",5,0)</x:f>
        <x:v>0</x:v>
      </x:c>
    </x:row>
    <x:row r="228" ht="30" customHeight="1">
      <x:c r="A228" s="11" t="n">
        <x:f>RANK.EQ(G228,$G$2:$G$523,0)</x:f>
        <x:v>225</x:v>
      </x:c>
      <x:c r="B228" s="7" t="str">
        <x:v>ZJ-022</x:v>
      </x:c>
      <x:c r="C228" s="7" t="str">
        <x:v>ZJ</x:v>
      </x:c>
      <x:c r="D228" s="7" t="str">
        <x:v>D</x:v>
      </x:c>
      <x:c r="E228" s="8" t="str">
        <x:v>边逸城</x:v>
      </x:c>
      <x:c r="F228" s="10" t="str">
        <x:v>浙江省诸暨市海亮初级中学</x:v>
      </x:c>
      <x:c r="G228" s="12" t="n">
        <x:f>SUM(H228:J228)+K228</x:f>
        <x:v>421</x:v>
      </x:c>
      <x:c r="H228" s="12" t="n">
        <x:v>100</x:v>
      </x:c>
      <x:c r="I228" s="12" t="n">
        <x:v>185</x:v>
      </x:c>
      <x:c r="J228" s="12" t="n">
        <x:v>136</x:v>
      </x:c>
      <x:c r="K228" s="12" t="n">
        <x:f>IF(D228="A",5,0)</x:f>
        <x:v>0</x:v>
      </x:c>
    </x:row>
    <x:row r="229" ht="30" customHeight="1">
      <x:c r="A229" s="11" t="n">
        <x:f>RANK.EQ(G229,$G$2:$G$523,0)</x:f>
        <x:v>228</x:v>
      </x:c>
      <x:c r="B229" s="7" t="str">
        <x:v>HA-011</x:v>
      </x:c>
      <x:c r="C229" s="7" t="str">
        <x:v>HA</x:v>
      </x:c>
      <x:c r="D229" s="7" t="str">
        <x:v>E</x:v>
      </x:c>
      <x:c r="E229" s="8" t="str">
        <x:v>董浩汶</x:v>
      </x:c>
      <x:c r="F229" s="10" t="str">
        <x:v>焦作市第十七中学</x:v>
      </x:c>
      <x:c r="G229" s="12" t="n">
        <x:f>SUM(H229:J229)+K229</x:f>
        <x:v>420</x:v>
      </x:c>
      <x:c r="H229" s="12" t="n">
        <x:v>100</x:v>
      </x:c>
      <x:c r="I229" s="12" t="n">
        <x:v>176</x:v>
      </x:c>
      <x:c r="J229" s="12" t="n">
        <x:v>144</x:v>
      </x:c>
      <x:c r="K229" s="12" t="n">
        <x:f>IF(D229="A",5,0)</x:f>
        <x:v>0</x:v>
      </x:c>
    </x:row>
    <x:row r="230" ht="30" customHeight="1">
      <x:c r="A230" s="11" t="n">
        <x:f>RANK.EQ(G230,$G$2:$G$523,0)</x:f>
        <x:v>228</x:v>
      </x:c>
      <x:c r="B230" s="7" t="str">
        <x:v>SN-002</x:v>
      </x:c>
      <x:c r="C230" s="7" t="str">
        <x:v>SN</x:v>
      </x:c>
      <x:c r="D230" s="7" t="str">
        <x:v>A</x:v>
      </x:c>
      <x:c r="E230" s="8" t="str">
        <x:v>祖渝鸿</x:v>
      </x:c>
      <x:c r="F230" s="10" t="str">
        <x:v>西安交通大学附属中学</x:v>
      </x:c>
      <x:c r="G230" s="12" t="n">
        <x:f>SUM(H230:J230)+K230</x:f>
        <x:v>420</x:v>
      </x:c>
      <x:c r="H230" s="12" t="n">
        <x:v>100</x:v>
      </x:c>
      <x:c r="I230" s="12" t="n">
        <x:v>213</x:v>
      </x:c>
      <x:c r="J230" s="12" t="n">
        <x:v>102</x:v>
      </x:c>
      <x:c r="K230" s="12" t="n">
        <x:f>IF(D230="A",5,0)</x:f>
        <x:v>5</x:v>
      </x:c>
    </x:row>
    <x:row r="231" ht="30" customHeight="1">
      <x:c r="A231" s="11" t="n">
        <x:f>RANK.EQ(G231,$G$2:$G$523,0)</x:f>
        <x:v>228</x:v>
      </x:c>
      <x:c r="B231" s="7" t="str">
        <x:v>SX-008</x:v>
      </x:c>
      <x:c r="C231" s="7" t="str">
        <x:v>SX</x:v>
      </x:c>
      <x:c r="D231" s="7" t="str">
        <x:v>E</x:v>
      </x:c>
      <x:c r="E231" s="8" t="str">
        <x:v>刘昱皓然</x:v>
      </x:c>
      <x:c r="F231" s="10" t="str">
        <x:v>晋城市实验中学校</x:v>
      </x:c>
      <x:c r="G231" s="12" t="n">
        <x:f>SUM(H231:J231)+K231</x:f>
        <x:v>420</x:v>
      </x:c>
      <x:c r="H231" s="12" t="n">
        <x:v>100</x:v>
      </x:c>
      <x:c r="I231" s="12" t="n">
        <x:v>184</x:v>
      </x:c>
      <x:c r="J231" s="12" t="n">
        <x:v>136</x:v>
      </x:c>
      <x:c r="K231" s="12" t="n">
        <x:f>IF(D231="A",5,0)</x:f>
        <x:v>0</x:v>
      </x:c>
    </x:row>
    <x:row r="232" ht="30" customHeight="1">
      <x:c r="A232" s="11" t="n">
        <x:f>RANK.EQ(G232,$G$2:$G$523,0)</x:f>
        <x:v>228</x:v>
      </x:c>
      <x:c r="B232" s="7" t="str">
        <x:v>ZJ-024</x:v>
      </x:c>
      <x:c r="C232" s="7" t="str">
        <x:v>ZJ</x:v>
      </x:c>
      <x:c r="D232" s="7" t="str">
        <x:v>D</x:v>
      </x:c>
      <x:c r="E232" s="8" t="str">
        <x:v>高墨锴</x:v>
      </x:c>
      <x:c r="F232" s="10" t="str">
        <x:v>杭州育才中学</x:v>
      </x:c>
      <x:c r="G232" s="12" t="n">
        <x:f>SUM(H232:J232)+K232</x:f>
        <x:v>420</x:v>
      </x:c>
      <x:c r="H232" s="12" t="n">
        <x:v>98</x:v>
      </x:c>
      <x:c r="I232" s="12" t="n">
        <x:v>194</x:v>
      </x:c>
      <x:c r="J232" s="12" t="n">
        <x:v>128</x:v>
      </x:c>
      <x:c r="K232" s="12" t="n">
        <x:f>IF(D232="A",5,0)</x:f>
        <x:v>0</x:v>
      </x:c>
    </x:row>
    <x:row r="233" ht="30" customHeight="1">
      <x:c r="A233" s="11" t="n">
        <x:f>RANK.EQ(G233,$G$2:$G$523,0)</x:f>
        <x:v>232</x:v>
      </x:c>
      <x:c r="B233" s="7" t="str">
        <x:v>CQ-020</x:v>
      </x:c>
      <x:c r="C233" s="7" t="str">
        <x:v>CQ</x:v>
      </x:c>
      <x:c r="D233" s="7" t="str">
        <x:v>D</x:v>
      </x:c>
      <x:c r="E233" s="8" t="str">
        <x:v>唐浩然</x:v>
      </x:c>
      <x:c r="F233" s="10" t="str">
        <x:v>重庆市巴蜀中学校</x:v>
      </x:c>
      <x:c r="G233" s="12" t="n">
        <x:f>SUM(H233:J233)+K233</x:f>
        <x:v>419</x:v>
      </x:c>
      <x:c r="H233" s="12" t="n">
        <x:v>99</x:v>
      </x:c>
      <x:c r="I233" s="12" t="n">
        <x:v>200</x:v>
      </x:c>
      <x:c r="J233" s="12" t="n">
        <x:v>120</x:v>
      </x:c>
      <x:c r="K233" s="12" t="n">
        <x:f>IF(D233="A",5,0)</x:f>
        <x:v>0</x:v>
      </x:c>
    </x:row>
    <x:row r="234" ht="30" customHeight="1">
      <x:c r="A234" s="11" t="n">
        <x:f>RANK.EQ(G234,$G$2:$G$523,0)</x:f>
        <x:v>233</x:v>
      </x:c>
      <x:c r="B234" s="7" t="str">
        <x:v>CQ-018</x:v>
      </x:c>
      <x:c r="C234" s="7" t="str">
        <x:v>CQ</x:v>
      </x:c>
      <x:c r="D234" s="7" t="str">
        <x:v>D</x:v>
      </x:c>
      <x:c r="E234" s="8" t="str">
        <x:v>向洵仡</x:v>
      </x:c>
      <x:c r="F234" s="10" t="str">
        <x:v>重庆八中宏帆中学校</x:v>
      </x:c>
      <x:c r="G234" s="12" t="n">
        <x:f>SUM(H234:J234)+K234</x:f>
        <x:v>418</x:v>
      </x:c>
      <x:c r="H234" s="12" t="n">
        <x:v>100</x:v>
      </x:c>
      <x:c r="I234" s="12" t="n">
        <x:v>214</x:v>
      </x:c>
      <x:c r="J234" s="12" t="n">
        <x:v>104</x:v>
      </x:c>
      <x:c r="K234" s="12" t="n">
        <x:f>IF(D234="A",5,0)</x:f>
        <x:v>0</x:v>
      </x:c>
    </x:row>
    <x:row r="235" ht="30" customHeight="1">
      <x:c r="A235" s="11" t="n">
        <x:f>RANK.EQ(G235,$G$2:$G$523,0)</x:f>
        <x:v>233</x:v>
      </x:c>
      <x:c r="B235" s="7" t="str">
        <x:v>JS-001</x:v>
      </x:c>
      <x:c r="C235" s="7" t="str">
        <x:v>JS</x:v>
      </x:c>
      <x:c r="D235" s="7" t="str">
        <x:v>A</x:v>
      </x:c>
      <x:c r="E235" s="8" t="str">
        <x:v>黄钰安</x:v>
      </x:c>
      <x:c r="F235" s="10" t="str">
        <x:v>江苏省南菁高级中学</x:v>
      </x:c>
      <x:c r="G235" s="12" t="n">
        <x:f>SUM(H235:J235)+K235</x:f>
        <x:v>418</x:v>
      </x:c>
      <x:c r="H235" s="12" t="n">
        <x:v>100</x:v>
      </x:c>
      <x:c r="I235" s="12" t="n">
        <x:v>193</x:v>
      </x:c>
      <x:c r="J235" s="12" t="n">
        <x:v>120</x:v>
      </x:c>
      <x:c r="K235" s="12" t="n">
        <x:f>IF(D235="A",5,0)</x:f>
        <x:v>5</x:v>
      </x:c>
    </x:row>
    <x:row r="236" ht="30" customHeight="1">
      <x:c r="A236" s="11" t="n">
        <x:f>RANK.EQ(G236,$G$2:$G$523,0)</x:f>
        <x:v>233</x:v>
      </x:c>
      <x:c r="B236" s="7" t="str">
        <x:v>ZJ-045</x:v>
      </x:c>
      <x:c r="C236" s="7" t="str">
        <x:v>ZJ</x:v>
      </x:c>
      <x:c r="D236" s="7" t="str">
        <x:v>D</x:v>
      </x:c>
      <x:c r="E236" s="8" t="str">
        <x:v>朱君浩</x:v>
      </x:c>
      <x:c r="F236" s="10" t="str">
        <x:v>浙江省温州中学</x:v>
      </x:c>
      <x:c r="G236" s="12" t="n">
        <x:f>SUM(H236:J236)+K236</x:f>
        <x:v>418</x:v>
      </x:c>
      <x:c r="H236" s="12" t="n">
        <x:v>100</x:v>
      </x:c>
      <x:c r="I236" s="12" t="n">
        <x:v>146</x:v>
      </x:c>
      <x:c r="J236" s="12" t="n">
        <x:v>172</x:v>
      </x:c>
      <x:c r="K236" s="12" t="n">
        <x:f>IF(D236="A",5,0)</x:f>
        <x:v>0</x:v>
      </x:c>
    </x:row>
    <x:row r="237" ht="30" customHeight="1">
      <x:c r="A237" s="11" t="n">
        <x:f>RANK.EQ(G237,$G$2:$G$523,0)</x:f>
        <x:v>236</x:v>
      </x:c>
      <x:c r="B237" s="7" t="str">
        <x:v>SN-006</x:v>
      </x:c>
      <x:c r="C237" s="7" t="str">
        <x:v>SN</x:v>
      </x:c>
      <x:c r="D237" s="7" t="str">
        <x:v>B</x:v>
      </x:c>
      <x:c r="E237" s="8" t="str">
        <x:v>张嘉宁</x:v>
      </x:c>
      <x:c r="F237" s="10" t="str">
        <x:v>渭南中学</x:v>
      </x:c>
      <x:c r="G237" s="12" t="n">
        <x:f>SUM(H237:J237)+K237</x:f>
        <x:v>417</x:v>
      </x:c>
      <x:c r="H237" s="12" t="n">
        <x:v>98</x:v>
      </x:c>
      <x:c r="I237" s="12" t="n">
        <x:v>210</x:v>
      </x:c>
      <x:c r="J237" s="12" t="n">
        <x:v>109</x:v>
      </x:c>
      <x:c r="K237" s="12" t="n">
        <x:f>IF(D237="A",5,0)</x:f>
        <x:v>0</x:v>
      </x:c>
    </x:row>
    <x:row r="238" ht="30" customHeight="1">
      <x:c r="A238" s="11" t="n">
        <x:f>RANK.EQ(G238,$G$2:$G$523,0)</x:f>
        <x:v>237</x:v>
      </x:c>
      <x:c r="B238" s="7" t="str">
        <x:v>AH-009</x:v>
      </x:c>
      <x:c r="C238" s="7" t="str">
        <x:v>AH</x:v>
      </x:c>
      <x:c r="D238" s="7" t="str">
        <x:v>B</x:v>
      </x:c>
      <x:c r="E238" s="8" t="str">
        <x:v>石奥翔</x:v>
      </x:c>
      <x:c r="F238" s="10" t="str">
        <x:v>安徽省马鞍山市第二中学</x:v>
      </x:c>
      <x:c r="G238" s="12" t="n">
        <x:f>SUM(H238:J238)+K238</x:f>
        <x:v>416</x:v>
      </x:c>
      <x:c r="H238" s="12" t="n">
        <x:v>100</x:v>
      </x:c>
      <x:c r="I238" s="12" t="n">
        <x:v>144</x:v>
      </x:c>
      <x:c r="J238" s="12" t="n">
        <x:v>172</x:v>
      </x:c>
      <x:c r="K238" s="12" t="n">
        <x:f>IF(D238="A",5,0)</x:f>
        <x:v>0</x:v>
      </x:c>
    </x:row>
    <x:row r="239" ht="30" customHeight="1">
      <x:c r="A239" s="11" t="n">
        <x:f>RANK.EQ(G239,$G$2:$G$523,0)</x:f>
        <x:v>237</x:v>
      </x:c>
      <x:c r="B239" s="7" t="str">
        <x:v>GD-035</x:v>
      </x:c>
      <x:c r="C239" s="7" t="str">
        <x:v>GD</x:v>
      </x:c>
      <x:c r="D239" s="7" t="str">
        <x:v>D</x:v>
      </x:c>
      <x:c r="E239" s="8" t="str">
        <x:v>蒋骏豪</x:v>
      </x:c>
      <x:c r="F239" s="10" t="str">
        <x:v>深圳市宝安中学（集团）高中部</x:v>
      </x:c>
      <x:c r="G239" s="12" t="n">
        <x:f>SUM(H239:J239)+K239</x:f>
        <x:v>416</x:v>
      </x:c>
      <x:c r="H239" s="12" t="n">
        <x:v>100</x:v>
      </x:c>
      <x:c r="I239" s="12" t="n">
        <x:v>156</x:v>
      </x:c>
      <x:c r="J239" s="12" t="n">
        <x:v>160</x:v>
      </x:c>
      <x:c r="K239" s="12" t="n">
        <x:f>IF(D239="A",5,0)</x:f>
        <x:v>0</x:v>
      </x:c>
    </x:row>
    <x:row r="240" ht="30" customHeight="1">
      <x:c r="A240" s="11" t="n">
        <x:f>RANK.EQ(G240,$G$2:$G$523,0)</x:f>
        <x:v>237</x:v>
      </x:c>
      <x:c r="B240" s="7" t="str">
        <x:v>SD-034</x:v>
      </x:c>
      <x:c r="C240" s="7" t="str">
        <x:v>SD</x:v>
      </x:c>
      <x:c r="D240" s="7" t="str">
        <x:v>D</x:v>
      </x:c>
      <x:c r="E240" s="8" t="str">
        <x:v>付麒瑞</x:v>
      </x:c>
      <x:c r="F240" s="10" t="str">
        <x:v>东营市第一中学</x:v>
      </x:c>
      <x:c r="G240" s="12" t="n">
        <x:f>SUM(H240:J240)+K240</x:f>
        <x:v>416</x:v>
      </x:c>
      <x:c r="H240" s="12" t="n">
        <x:v>100</x:v>
      </x:c>
      <x:c r="I240" s="12" t="n">
        <x:v>208</x:v>
      </x:c>
      <x:c r="J240" s="12" t="n">
        <x:v>108</x:v>
      </x:c>
      <x:c r="K240" s="12" t="n">
        <x:f>IF(D240="A",5,0)</x:f>
        <x:v>0</x:v>
      </x:c>
    </x:row>
    <x:row r="241" ht="30" customHeight="1">
      <x:c r="A241" s="11" t="n">
        <x:f>RANK.EQ(G241,$G$2:$G$523,0)</x:f>
        <x:v>237</x:v>
      </x:c>
      <x:c r="B241" s="7" t="str">
        <x:v>SN-011</x:v>
      </x:c>
      <x:c r="C241" s="7" t="str">
        <x:v>SN</x:v>
      </x:c>
      <x:c r="D241" s="7" t="str">
        <x:v>D</x:v>
      </x:c>
      <x:c r="E241" s="8" t="str">
        <x:v>肖子卓</x:v>
      </x:c>
      <x:c r="F241" s="10" t="str">
        <x:v>西安高新区第三初级中学</x:v>
      </x:c>
      <x:c r="G241" s="12" t="n">
        <x:f>SUM(H241:J241)+K241</x:f>
        <x:v>416</x:v>
      </x:c>
      <x:c r="H241" s="12" t="n">
        <x:v>100</x:v>
      </x:c>
      <x:c r="I241" s="12" t="n">
        <x:v>188</x:v>
      </x:c>
      <x:c r="J241" s="12" t="n">
        <x:v>128</x:v>
      </x:c>
      <x:c r="K241" s="12" t="n">
        <x:f>IF(D241="A",5,0)</x:f>
        <x:v>0</x:v>
      </x:c>
    </x:row>
    <x:row r="242" ht="30" customHeight="1">
      <x:c r="A242" s="11" t="n">
        <x:f>RANK.EQ(G242,$G$2:$G$523,0)</x:f>
        <x:v>241</x:v>
      </x:c>
      <x:c r="B242" s="7" t="str">
        <x:v>JS-028</x:v>
      </x:c>
      <x:c r="C242" s="7" t="str">
        <x:v>JS</x:v>
      </x:c>
      <x:c r="D242" s="7" t="str">
        <x:v>D</x:v>
      </x:c>
      <x:c r="E242" s="8" t="str">
        <x:v>范传煜</x:v>
      </x:c>
      <x:c r="F242" s="10" t="str">
        <x:v>南京外国语学校</x:v>
      </x:c>
      <x:c r="G242" s="12" t="n">
        <x:f>SUM(H242:J242)+K242</x:f>
        <x:v>414</x:v>
      </x:c>
      <x:c r="H242" s="12" t="n">
        <x:v>99</x:v>
      </x:c>
      <x:c r="I242" s="12" t="n">
        <x:v>179</x:v>
      </x:c>
      <x:c r="J242" s="12" t="n">
        <x:v>136</x:v>
      </x:c>
      <x:c r="K242" s="12" t="n">
        <x:f>IF(D242="A",5,0)</x:f>
        <x:v>0</x:v>
      </x:c>
    </x:row>
    <x:row r="243" ht="30" customHeight="1">
      <x:c r="A243" s="11" t="n">
        <x:f>RANK.EQ(G243,$G$2:$G$523,0)</x:f>
        <x:v>241</x:v>
      </x:c>
      <x:c r="B243" s="7" t="str">
        <x:v>JX-008</x:v>
      </x:c>
      <x:c r="C243" s="7" t="str">
        <x:v>JX</x:v>
      </x:c>
      <x:c r="D243" s="7" t="str">
        <x:v>B</x:v>
      </x:c>
      <x:c r="E243" s="8" t="str">
        <x:v>徐梓钦</x:v>
      </x:c>
      <x:c r="F243" s="10" t="str">
        <x:v>广丰贞白中学</x:v>
      </x:c>
      <x:c r="G243" s="12" t="n">
        <x:f>SUM(H243:J243)+K243</x:f>
        <x:v>414</x:v>
      </x:c>
      <x:c r="H243" s="12" t="n">
        <x:v>100</x:v>
      </x:c>
      <x:c r="I243" s="12" t="n">
        <x:v>166</x:v>
      </x:c>
      <x:c r="J243" s="12" t="n">
        <x:v>148</x:v>
      </x:c>
      <x:c r="K243" s="12" t="n">
        <x:f>IF(D243="A",5,0)</x:f>
        <x:v>0</x:v>
      </x:c>
    </x:row>
    <x:row r="244" ht="30" customHeight="1">
      <x:c r="A244" s="11" t="n">
        <x:f>RANK.EQ(G244,$G$2:$G$523,0)</x:f>
        <x:v>241</x:v>
      </x:c>
      <x:c r="B244" s="7" t="str">
        <x:v>ZJ-027</x:v>
      </x:c>
      <x:c r="C244" s="7" t="str">
        <x:v>ZJ</x:v>
      </x:c>
      <x:c r="D244" s="7" t="str">
        <x:v>D</x:v>
      </x:c>
      <x:c r="E244" s="8" t="str">
        <x:v>李政轩</x:v>
      </x:c>
      <x:c r="F244" s="10" t="str">
        <x:v>杭州云谷学校</x:v>
      </x:c>
      <x:c r="G244" s="12" t="n">
        <x:f>SUM(H244:J244)+K244</x:f>
        <x:v>414</x:v>
      </x:c>
      <x:c r="H244" s="12" t="n">
        <x:v>100</x:v>
      </x:c>
      <x:c r="I244" s="12" t="n">
        <x:v>170</x:v>
      </x:c>
      <x:c r="J244" s="12" t="n">
        <x:v>144</x:v>
      </x:c>
      <x:c r="K244" s="12" t="n">
        <x:f>IF(D244="A",5,0)</x:f>
        <x:v>0</x:v>
      </x:c>
    </x:row>
    <x:row r="245" ht="30" customHeight="1">
      <x:c r="A245" s="11" t="n">
        <x:f>RANK.EQ(G245,$G$2:$G$523,0)</x:f>
        <x:v>244</x:v>
      </x:c>
      <x:c r="B245" s="7" t="str">
        <x:v>FJ-012</x:v>
      </x:c>
      <x:c r="C245" s="7" t="str">
        <x:v>FJ</x:v>
      </x:c>
      <x:c r="D245" s="7" t="str">
        <x:v>B</x:v>
      </x:c>
      <x:c r="E245" s="8" t="str">
        <x:v>李洋阳</x:v>
      </x:c>
      <x:c r="F245" s="10" t="str">
        <x:v>福建省福州第三中学</x:v>
      </x:c>
      <x:c r="G245" s="12" t="n">
        <x:f>SUM(H245:J245)+K245</x:f>
        <x:v>413</x:v>
      </x:c>
      <x:c r="H245" s="12" t="n">
        <x:v>100</x:v>
      </x:c>
      <x:c r="I245" s="12" t="n">
        <x:v>189</x:v>
      </x:c>
      <x:c r="J245" s="12" t="n">
        <x:v>124</x:v>
      </x:c>
      <x:c r="K245" s="12" t="n">
        <x:f>IF(D245="A",5,0)</x:f>
        <x:v>0</x:v>
      </x:c>
    </x:row>
    <x:row r="246" ht="30" customHeight="1">
      <x:c r="A246" s="11" t="n">
        <x:f>RANK.EQ(G246,$G$2:$G$523,0)</x:f>
        <x:v>244</x:v>
      </x:c>
      <x:c r="B246" s="7" t="str">
        <x:v>GD-023</x:v>
      </x:c>
      <x:c r="C246" s="7" t="str">
        <x:v>GD</x:v>
      </x:c>
      <x:c r="D246" s="7" t="str">
        <x:v>D</x:v>
      </x:c>
      <x:c r="E246" s="8" t="str">
        <x:v>康立扬</x:v>
      </x:c>
      <x:c r="F246" s="10" t="str">
        <x:v>广东实验中学</x:v>
      </x:c>
      <x:c r="G246" s="12" t="n">
        <x:f>SUM(H246:J246)+K246</x:f>
        <x:v>413</x:v>
      </x:c>
      <x:c r="H246" s="12" t="n">
        <x:v>100</x:v>
      </x:c>
      <x:c r="I246" s="12" t="n">
        <x:v>190</x:v>
      </x:c>
      <x:c r="J246" s="12" t="n">
        <x:v>123</x:v>
      </x:c>
      <x:c r="K246" s="12" t="n">
        <x:f>IF(D246="A",5,0)</x:f>
        <x:v>0</x:v>
      </x:c>
    </x:row>
    <x:row r="247" ht="30" customHeight="1">
      <x:c r="A247" s="11" t="n">
        <x:f>RANK.EQ(G247,$G$2:$G$523,0)</x:f>
        <x:v>244</x:v>
      </x:c>
      <x:c r="B247" s="7" t="str">
        <x:v>HN-025</x:v>
      </x:c>
      <x:c r="C247" s="7" t="str">
        <x:v>HN</x:v>
      </x:c>
      <x:c r="D247" s="7" t="str">
        <x:v>E</x:v>
      </x:c>
      <x:c r="E247" s="8" t="str">
        <x:v>童宇昕</x:v>
      </x:c>
      <x:c r="F247" s="10" t="str">
        <x:v>长沙麓山外国语实验中学</x:v>
      </x:c>
      <x:c r="G247" s="12" t="n">
        <x:f>SUM(H247:J247)+K247</x:f>
        <x:v>413</x:v>
      </x:c>
      <x:c r="H247" s="12" t="n">
        <x:v>100</x:v>
      </x:c>
      <x:c r="I247" s="12" t="n">
        <x:v>190</x:v>
      </x:c>
      <x:c r="J247" s="12" t="n">
        <x:v>123</x:v>
      </x:c>
      <x:c r="K247" s="12" t="n">
        <x:f>IF(D247="A",5,0)</x:f>
        <x:v>0</x:v>
      </x:c>
    </x:row>
    <x:row r="248" ht="30" customHeight="1">
      <x:c r="A248" s="11" t="n">
        <x:f>RANK.EQ(G248,$G$2:$G$523,0)</x:f>
        <x:v>247</x:v>
      </x:c>
      <x:c r="B248" s="7" t="str">
        <x:v>BJ-022</x:v>
      </x:c>
      <x:c r="C248" s="7" t="str">
        <x:v>BJ</x:v>
      </x:c>
      <x:c r="D248" s="7" t="str">
        <x:v>D</x:v>
      </x:c>
      <x:c r="E248" s="8" t="str">
        <x:v>谢雨衡</x:v>
      </x:c>
      <x:c r="F248" s="10" t="str">
        <x:v>北京市十一学校</x:v>
      </x:c>
      <x:c r="G248" s="12" t="n">
        <x:f>SUM(H248:J248)+K248</x:f>
        <x:v>412</x:v>
      </x:c>
      <x:c r="H248" s="12" t="n">
        <x:v>100</x:v>
      </x:c>
      <x:c r="I248" s="12" t="n">
        <x:v>184</x:v>
      </x:c>
      <x:c r="J248" s="12" t="n">
        <x:v>128</x:v>
      </x:c>
      <x:c r="K248" s="12" t="n">
        <x:f>IF(D248="A",5,0)</x:f>
        <x:v>0</x:v>
      </x:c>
    </x:row>
    <x:row r="249" ht="30" customHeight="1">
      <x:c r="A249" s="11" t="n">
        <x:f>RANK.EQ(G249,$G$2:$G$523,0)</x:f>
        <x:v>247</x:v>
      </x:c>
      <x:c r="B249" s="7" t="str">
        <x:v>FJ-026</x:v>
      </x:c>
      <x:c r="C249" s="7" t="str">
        <x:v>FJ</x:v>
      </x:c>
      <x:c r="D249" s="7" t="str">
        <x:v>D</x:v>
      </x:c>
      <x:c r="E249" s="8" t="str">
        <x:v>卓语萱</x:v>
      </x:c>
      <x:c r="F249" s="10" t="str">
        <x:v>福建省福州延安中学</x:v>
      </x:c>
      <x:c r="G249" s="12" t="n">
        <x:f>SUM(H249:J249)+K249</x:f>
        <x:v>412</x:v>
      </x:c>
      <x:c r="H249" s="12" t="n">
        <x:v>100</x:v>
      </x:c>
      <x:c r="I249" s="12" t="n">
        <x:v>180</x:v>
      </x:c>
      <x:c r="J249" s="12" t="n">
        <x:v>132</x:v>
      </x:c>
      <x:c r="K249" s="12" t="n">
        <x:f>IF(D249="A",5,0)</x:f>
        <x:v>0</x:v>
      </x:c>
    </x:row>
    <x:row r="250" ht="30" customHeight="1">
      <x:c r="A250" s="11" t="n">
        <x:f>RANK.EQ(G250,$G$2:$G$523,0)</x:f>
        <x:v>249</x:v>
      </x:c>
      <x:c r="B250" s="7" t="str">
        <x:v>GD-020</x:v>
      </x:c>
      <x:c r="C250" s="7" t="str">
        <x:v>GD</x:v>
      </x:c>
      <x:c r="D250" s="7" t="str">
        <x:v>D</x:v>
      </x:c>
      <x:c r="E250" s="8" t="str">
        <x:v>刘泓睿</x:v>
      </x:c>
      <x:c r="F250" s="10" t="str">
        <x:v>广州市第二中学</x:v>
      </x:c>
      <x:c r="G250" s="12" t="n">
        <x:f>SUM(H250:J250)+K250</x:f>
        <x:v>411</x:v>
      </x:c>
      <x:c r="H250" s="12" t="n">
        <x:v>100</x:v>
      </x:c>
      <x:c r="I250" s="12" t="n">
        <x:v>212</x:v>
      </x:c>
      <x:c r="J250" s="12" t="n">
        <x:v>99</x:v>
      </x:c>
      <x:c r="K250" s="12" t="n">
        <x:f>IF(D250="A",5,0)</x:f>
        <x:v>0</x:v>
      </x:c>
    </x:row>
    <x:row r="251" ht="30" customHeight="1">
      <x:c r="A251" s="11" t="n">
        <x:f>RANK.EQ(G251,$G$2:$G$523,0)</x:f>
        <x:v>250</x:v>
      </x:c>
      <x:c r="B251" s="7" t="str">
        <x:v>JS-007</x:v>
      </x:c>
      <x:c r="C251" s="7" t="str">
        <x:v>JS</x:v>
      </x:c>
      <x:c r="D251" s="7" t="str">
        <x:v>B</x:v>
      </x:c>
      <x:c r="E251" s="8" t="str">
        <x:v>房雨萱</x:v>
      </x:c>
      <x:c r="F251" s="10" t="str">
        <x:v>江苏省苏州中学校</x:v>
      </x:c>
      <x:c r="G251" s="12" t="n">
        <x:f>SUM(H251:J251)+K251</x:f>
        <x:v>410</x:v>
      </x:c>
      <x:c r="H251" s="12" t="n">
        <x:v>98</x:v>
      </x:c>
      <x:c r="I251" s="12" t="n">
        <x:v>168</x:v>
      </x:c>
      <x:c r="J251" s="12" t="n">
        <x:v>144</x:v>
      </x:c>
      <x:c r="K251" s="12" t="n">
        <x:f>IF(D251="A",5,0)</x:f>
        <x:v>0</x:v>
      </x:c>
    </x:row>
    <x:row r="252" ht="30" customHeight="1">
      <x:c r="A252" s="11" t="n">
        <x:f>RANK.EQ(G252,$G$2:$G$523,0)</x:f>
        <x:v>250</x:v>
      </x:c>
      <x:c r="B252" s="7" t="str">
        <x:v>SC-007</x:v>
      </x:c>
      <x:c r="C252" s="7" t="str">
        <x:v>SC</x:v>
      </x:c>
      <x:c r="D252" s="7" t="str">
        <x:v>B</x:v>
      </x:c>
      <x:c r="E252" s="8" t="str">
        <x:v>蒋林逍</x:v>
      </x:c>
      <x:c r="F252" s="10" t="str">
        <x:v>四川省成都市第七中学</x:v>
      </x:c>
      <x:c r="G252" s="12" t="n">
        <x:f>SUM(H252:J252)+K252</x:f>
        <x:v>410</x:v>
      </x:c>
      <x:c r="H252" s="12" t="n">
        <x:v>100</x:v>
      </x:c>
      <x:c r="I252" s="12" t="n">
        <x:v>186</x:v>
      </x:c>
      <x:c r="J252" s="12" t="n">
        <x:v>124</x:v>
      </x:c>
      <x:c r="K252" s="12" t="n">
        <x:f>IF(D252="A",5,0)</x:f>
        <x:v>0</x:v>
      </x:c>
    </x:row>
    <x:row r="253" ht="30" customHeight="1">
      <x:c r="A253" s="11" t="n">
        <x:f>RANK.EQ(G253,$G$2:$G$523,0)</x:f>
        <x:v>250</x:v>
      </x:c>
      <x:c r="B253" s="7" t="str">
        <x:v>SD-013</x:v>
      </x:c>
      <x:c r="C253" s="7" t="str">
        <x:v>SD</x:v>
      </x:c>
      <x:c r="D253" s="7" t="str">
        <x:v>B</x:v>
      </x:c>
      <x:c r="E253" s="8" t="str">
        <x:v>包赟瑞</x:v>
      </x:c>
      <x:c r="F253" s="10" t="str">
        <x:v>山东省烟台第二中学</x:v>
      </x:c>
      <x:c r="G253" s="12" t="n">
        <x:f>SUM(H253:J253)+K253</x:f>
        <x:v>410</x:v>
      </x:c>
      <x:c r="H253" s="12" t="n">
        <x:v>100</x:v>
      </x:c>
      <x:c r="I253" s="12" t="n">
        <x:v>192</x:v>
      </x:c>
      <x:c r="J253" s="12" t="n">
        <x:v>118</x:v>
      </x:c>
      <x:c r="K253" s="12" t="n">
        <x:f>IF(D253="A",5,0)</x:f>
        <x:v>0</x:v>
      </x:c>
    </x:row>
    <x:row r="254" ht="30" customHeight="1">
      <x:c r="A254" s="11" t="n">
        <x:f>RANK.EQ(G254,$G$2:$G$523,0)</x:f>
        <x:v>253</x:v>
      </x:c>
      <x:c r="B254" s="7" t="str">
        <x:v>HA-004</x:v>
      </x:c>
      <x:c r="C254" s="7" t="str">
        <x:v>HA</x:v>
      </x:c>
      <x:c r="D254" s="7" t="str">
        <x:v>A</x:v>
      </x:c>
      <x:c r="E254" s="8" t="str">
        <x:v>刘雨杭</x:v>
      </x:c>
      <x:c r="F254" s="10" t="str">
        <x:v>郑州外国语学校</x:v>
      </x:c>
      <x:c r="G254" s="12" t="n">
        <x:f>SUM(H254:J254)+K254</x:f>
        <x:v>409</x:v>
      </x:c>
      <x:c r="H254" s="12" t="n">
        <x:v>100</x:v>
      </x:c>
      <x:c r="I254" s="12" t="n">
        <x:v>168</x:v>
      </x:c>
      <x:c r="J254" s="12" t="n">
        <x:v>136</x:v>
      </x:c>
      <x:c r="K254" s="12" t="n">
        <x:f>IF(D254="A",5,0)</x:f>
        <x:v>5</x:v>
      </x:c>
    </x:row>
    <x:row r="255" ht="30" customHeight="1">
      <x:c r="A255" s="11" t="n">
        <x:f>RANK.EQ(G255,$G$2:$G$523,0)</x:f>
        <x:v>253</x:v>
      </x:c>
      <x:c r="B255" s="7" t="str">
        <x:v>LN-003</x:v>
      </x:c>
      <x:c r="C255" s="7" t="str">
        <x:v>LN</x:v>
      </x:c>
      <x:c r="D255" s="7" t="str">
        <x:v>A</x:v>
      </x:c>
      <x:c r="E255" s="8" t="str">
        <x:v>李宇哲</x:v>
      </x:c>
      <x:c r="F255" s="10" t="str">
        <x:v>辽宁省实验中学</x:v>
      </x:c>
      <x:c r="G255" s="12" t="n">
        <x:f>SUM(H255:J255)+K255</x:f>
        <x:v>409</x:v>
      </x:c>
      <x:c r="H255" s="12" t="n">
        <x:v>100</x:v>
      </x:c>
      <x:c r="I255" s="12" t="n">
        <x:v>176</x:v>
      </x:c>
      <x:c r="J255" s="12" t="n">
        <x:v>128</x:v>
      </x:c>
      <x:c r="K255" s="12" t="n">
        <x:f>IF(D255="A",5,0)</x:f>
        <x:v>5</x:v>
      </x:c>
    </x:row>
    <x:row r="256" ht="30" customHeight="1">
      <x:c r="A256" s="11" t="n">
        <x:f>RANK.EQ(G256,$G$2:$G$523,0)</x:f>
        <x:v>255</x:v>
      </x:c>
      <x:c r="B256" s="7" t="str">
        <x:v>HN-006</x:v>
      </x:c>
      <x:c r="C256" s="7" t="str">
        <x:v>HN</x:v>
      </x:c>
      <x:c r="D256" s="7" t="str">
        <x:v>B</x:v>
      </x:c>
      <x:c r="E256" s="8" t="str">
        <x:v>陈泓睿</x:v>
      </x:c>
      <x:c r="F256" s="10" t="str">
        <x:v>长沙市长郡中学</x:v>
      </x:c>
      <x:c r="G256" s="12" t="n">
        <x:f>SUM(H256:J256)+K256</x:f>
        <x:v>408</x:v>
      </x:c>
      <x:c r="H256" s="12" t="n">
        <x:v>100</x:v>
      </x:c>
      <x:c r="I256" s="12" t="n">
        <x:v>210</x:v>
      </x:c>
      <x:c r="J256" s="12" t="n">
        <x:v>98</x:v>
      </x:c>
      <x:c r="K256" s="12" t="n">
        <x:f>IF(D256="A",5,0)</x:f>
        <x:v>0</x:v>
      </x:c>
    </x:row>
    <x:row r="257" ht="30" customHeight="1">
      <x:c r="A257" s="11" t="n">
        <x:f>RANK.EQ(G257,$G$2:$G$523,0)</x:f>
        <x:v>255</x:v>
      </x:c>
      <x:c r="B257" s="7" t="str">
        <x:v>JS-021</x:v>
      </x:c>
      <x:c r="C257" s="7" t="str">
        <x:v>JS</x:v>
      </x:c>
      <x:c r="D257" s="7" t="str">
        <x:v>D</x:v>
      </x:c>
      <x:c r="E257" s="8" t="str">
        <x:v>郭天翊</x:v>
      </x:c>
      <x:c r="F257" s="10" t="str">
        <x:v>江苏省淮阴中学</x:v>
      </x:c>
      <x:c r="G257" s="12" t="n">
        <x:f>SUM(H257:J257)+K257</x:f>
        <x:v>408</x:v>
      </x:c>
      <x:c r="H257" s="12" t="n">
        <x:v>100</x:v>
      </x:c>
      <x:c r="I257" s="12" t="n">
        <x:v>188</x:v>
      </x:c>
      <x:c r="J257" s="12" t="n">
        <x:v>120</x:v>
      </x:c>
      <x:c r="K257" s="12" t="n">
        <x:f>IF(D257="A",5,0)</x:f>
        <x:v>0</x:v>
      </x:c>
    </x:row>
    <x:row r="258" ht="30" customHeight="1">
      <x:c r="A258" s="11" t="n">
        <x:f>RANK.EQ(G258,$G$2:$G$523,0)</x:f>
        <x:v>257</x:v>
      </x:c>
      <x:c r="B258" s="7" t="str">
        <x:v>SD-032</x:v>
      </x:c>
      <x:c r="C258" s="7" t="str">
        <x:v>SD</x:v>
      </x:c>
      <x:c r="D258" s="7" t="str">
        <x:v>D</x:v>
      </x:c>
      <x:c r="E258" s="8" t="str">
        <x:v>赵跃博</x:v>
      </x:c>
      <x:c r="F258" s="10" t="str">
        <x:v>烟台青华中学</x:v>
      </x:c>
      <x:c r="G258" s="12" t="n">
        <x:f>SUM(H258:J258)+K258</x:f>
        <x:v>407</x:v>
      </x:c>
      <x:c r="H258" s="12" t="n">
        <x:v>100</x:v>
      </x:c>
      <x:c r="I258" s="12" t="n">
        <x:v>176</x:v>
      </x:c>
      <x:c r="J258" s="12" t="n">
        <x:v>131</x:v>
      </x:c>
      <x:c r="K258" s="12" t="n">
        <x:f>IF(D258="A",5,0)</x:f>
        <x:v>0</x:v>
      </x:c>
    </x:row>
    <x:row r="259" ht="30" customHeight="1">
      <x:c r="A259" s="11" t="n">
        <x:f>RANK.EQ(G259,$G$2:$G$523,0)</x:f>
        <x:v>258</x:v>
      </x:c>
      <x:c r="B259" s="7" t="str">
        <x:v>TJ-004</x:v>
      </x:c>
      <x:c r="C259" s="7" t="str">
        <x:v>TJ</x:v>
      </x:c>
      <x:c r="D259" s="7" t="str">
        <x:v>A</x:v>
      </x:c>
      <x:c r="E259" s="8" t="str">
        <x:v>夏星艺</x:v>
      </x:c>
      <x:c r="F259" s="10" t="str">
        <x:v>天津英华实验学校</x:v>
      </x:c>
      <x:c r="G259" s="12" t="n">
        <x:f>SUM(H259:J259)+K259</x:f>
        <x:v>406</x:v>
      </x:c>
      <x:c r="H259" s="12" t="n">
        <x:v>100</x:v>
      </x:c>
      <x:c r="I259" s="12" t="n">
        <x:v>173</x:v>
      </x:c>
      <x:c r="J259" s="12" t="n">
        <x:v>128</x:v>
      </x:c>
      <x:c r="K259" s="12" t="n">
        <x:f>IF(D259="A",5,0)</x:f>
        <x:v>5</x:v>
      </x:c>
    </x:row>
    <x:row r="260" ht="30" customHeight="1">
      <x:c r="A260" s="11" t="n">
        <x:f>RANK.EQ(G260,$G$2:$G$523,0)</x:f>
        <x:v>259</x:v>
      </x:c>
      <x:c r="B260" s="7" t="str">
        <x:v>FJ-018</x:v>
      </x:c>
      <x:c r="C260" s="7" t="str">
        <x:v>FJ</x:v>
      </x:c>
      <x:c r="D260" s="7" t="str">
        <x:v>D</x:v>
      </x:c>
      <x:c r="E260" s="8" t="str">
        <x:v>尹俊淏</x:v>
      </x:c>
      <x:c r="F260" s="10" t="str">
        <x:v>福建省厦门双十中学</x:v>
      </x:c>
      <x:c r="G260" s="12" t="n">
        <x:f>SUM(H260:J260)+K260</x:f>
        <x:v>405</x:v>
      </x:c>
      <x:c r="H260" s="12" t="n">
        <x:v>100</x:v>
      </x:c>
      <x:c r="I260" s="12" t="n">
        <x:v>185</x:v>
      </x:c>
      <x:c r="J260" s="12" t="n">
        <x:v>120</x:v>
      </x:c>
      <x:c r="K260" s="12" t="n">
        <x:f>IF(D260="A",5,0)</x:f>
        <x:v>0</x:v>
      </x:c>
    </x:row>
    <x:row r="261" ht="30" customHeight="1">
      <x:c r="A261" s="11" t="n">
        <x:f>RANK.EQ(G261,$G$2:$G$523,0)</x:f>
        <x:v>260</x:v>
      </x:c>
      <x:c r="B261" s="7" t="str">
        <x:v>GZ-003</x:v>
      </x:c>
      <x:c r="C261" s="7" t="str">
        <x:v>GZ</x:v>
      </x:c>
      <x:c r="D261" s="7" t="str">
        <x:v>A</x:v>
      </x:c>
      <x:c r="E261" s="8" t="str">
        <x:v>丁思源</x:v>
      </x:c>
      <x:c r="F261" s="10" t="str">
        <x:v>贵阳市华师一学校</x:v>
      </x:c>
      <x:c r="G261" s="12" t="n">
        <x:f>SUM(H261:J261)+K261</x:f>
        <x:v>404</x:v>
      </x:c>
      <x:c r="H261" s="12" t="n">
        <x:v>100</x:v>
      </x:c>
      <x:c r="I261" s="12" t="n">
        <x:v>179</x:v>
      </x:c>
      <x:c r="J261" s="12" t="n">
        <x:v>120</x:v>
      </x:c>
      <x:c r="K261" s="12" t="n">
        <x:f>IF(D261="A",5,0)</x:f>
        <x:v>5</x:v>
      </x:c>
    </x:row>
    <x:row r="262" ht="30" customHeight="1">
      <x:c r="A262" s="11" t="n">
        <x:f>RANK.EQ(G262,$G$2:$G$523,0)</x:f>
        <x:v>261</x:v>
      </x:c>
      <x:c r="B262" s="7" t="str">
        <x:v>BJ-023</x:v>
      </x:c>
      <x:c r="C262" s="7" t="str">
        <x:v>BJ</x:v>
      </x:c>
      <x:c r="D262" s="7" t="str">
        <x:v>D</x:v>
      </x:c>
      <x:c r="E262" s="8" t="str">
        <x:v>王心卓</x:v>
      </x:c>
      <x:c r="F262" s="10" t="str">
        <x:v>北京大学附属中学</x:v>
      </x:c>
      <x:c r="G262" s="12" t="n">
        <x:f>SUM(H262:J262)+K262</x:f>
        <x:v>403</x:v>
      </x:c>
      <x:c r="H262" s="12" t="n">
        <x:v>99</x:v>
      </x:c>
      <x:c r="I262" s="12" t="n">
        <x:v>176</x:v>
      </x:c>
      <x:c r="J262" s="12" t="n">
        <x:v>128</x:v>
      </x:c>
      <x:c r="K262" s="12" t="n">
        <x:f>IF(D262="A",5,0)</x:f>
        <x:v>0</x:v>
      </x:c>
    </x:row>
    <x:row r="263" ht="30" customHeight="1">
      <x:c r="A263" s="11" t="n">
        <x:f>RANK.EQ(G263,$G$2:$G$523,0)</x:f>
        <x:v>261</x:v>
      </x:c>
      <x:c r="B263" s="7" t="str">
        <x:v>GD-024</x:v>
      </x:c>
      <x:c r="C263" s="7" t="str">
        <x:v>GD</x:v>
      </x:c>
      <x:c r="D263" s="7" t="str">
        <x:v>D</x:v>
      </x:c>
      <x:c r="E263" s="8" t="str">
        <x:v>宋承璋</x:v>
      </x:c>
      <x:c r="F263" s="10" t="str">
        <x:v>广东实验中学</x:v>
      </x:c>
      <x:c r="G263" s="12" t="n">
        <x:f>SUM(H263:J263)+K263</x:f>
        <x:v>403</x:v>
      </x:c>
      <x:c r="H263" s="12" t="n">
        <x:v>99</x:v>
      </x:c>
      <x:c r="I263" s="12" t="n">
        <x:v>176</x:v>
      </x:c>
      <x:c r="J263" s="12" t="n">
        <x:v>128</x:v>
      </x:c>
      <x:c r="K263" s="12" t="n">
        <x:f>IF(D263="A",5,0)</x:f>
        <x:v>0</x:v>
      </x:c>
    </x:row>
    <x:row r="264" ht="30" customHeight="1">
      <x:c r="A264" s="11" t="n">
        <x:f>RANK.EQ(G264,$G$2:$G$523,0)</x:f>
        <x:v>261</x:v>
      </x:c>
      <x:c r="B264" s="7" t="str">
        <x:v>SD-023</x:v>
      </x:c>
      <x:c r="C264" s="7" t="str">
        <x:v>SD</x:v>
      </x:c>
      <x:c r="D264" s="7" t="str">
        <x:v>B</x:v>
      </x:c>
      <x:c r="E264" s="8" t="str">
        <x:v>胡扬</x:v>
      </x:c>
      <x:c r="F264" s="10" t="str">
        <x:v>烟台青华中学</x:v>
      </x:c>
      <x:c r="G264" s="12" t="n">
        <x:f>SUM(H264:J264)+K264</x:f>
        <x:v>403</x:v>
      </x:c>
      <x:c r="H264" s="12" t="n">
        <x:v>100</x:v>
      </x:c>
      <x:c r="I264" s="12" t="n">
        <x:v>175</x:v>
      </x:c>
      <x:c r="J264" s="12" t="n">
        <x:v>128</x:v>
      </x:c>
      <x:c r="K264" s="12" t="n">
        <x:f>IF(D264="A",5,0)</x:f>
        <x:v>0</x:v>
      </x:c>
    </x:row>
    <x:row r="265" ht="30" customHeight="1">
      <x:c r="A265" s="11" t="n">
        <x:f>RANK.EQ(G265,$G$2:$G$523,0)</x:f>
        <x:v>264</x:v>
      </x:c>
      <x:c r="B265" s="7" t="str">
        <x:v>CQ-024</x:v>
      </x:c>
      <x:c r="C265" s="7" t="str">
        <x:v>CQ</x:v>
      </x:c>
      <x:c r="D265" s="7" t="str">
        <x:v>D</x:v>
      </x:c>
      <x:c r="E265" s="8" t="str">
        <x:v>黎谨与</x:v>
      </x:c>
      <x:c r="F265" s="10" t="str">
        <x:v>重庆市南开中学校</x:v>
      </x:c>
      <x:c r="G265" s="12" t="n">
        <x:f>SUM(H265:J265)+K265</x:f>
        <x:v>402</x:v>
      </x:c>
      <x:c r="H265" s="12" t="n">
        <x:v>100</x:v>
      </x:c>
      <x:c r="I265" s="12" t="n">
        <x:v>174</x:v>
      </x:c>
      <x:c r="J265" s="12" t="n">
        <x:v>128</x:v>
      </x:c>
      <x:c r="K265" s="12" t="n">
        <x:f>IF(D265="A",5,0)</x:f>
        <x:v>0</x:v>
      </x:c>
    </x:row>
    <x:row r="266" ht="30" customHeight="1">
      <x:c r="A266" s="11" t="n">
        <x:f>RANK.EQ(G266,$G$2:$G$523,0)</x:f>
        <x:v>264</x:v>
      </x:c>
      <x:c r="B266" s="7" t="str">
        <x:v>JS-015</x:v>
      </x:c>
      <x:c r="C266" s="7" t="str">
        <x:v>JS</x:v>
      </x:c>
      <x:c r="D266" s="7" t="str">
        <x:v>B</x:v>
      </x:c>
      <x:c r="E266" s="8" t="str">
        <x:v>王子帆</x:v>
      </x:c>
      <x:c r="F266" s="10" t="str">
        <x:v>南京外国语学校仙林分校</x:v>
      </x:c>
      <x:c r="G266" s="12" t="n">
        <x:f>SUM(H266:J266)+K266</x:f>
        <x:v>402</x:v>
      </x:c>
      <x:c r="H266" s="12" t="n">
        <x:v>100</x:v>
      </x:c>
      <x:c r="I266" s="12" t="n">
        <x:v>222</x:v>
      </x:c>
      <x:c r="J266" s="12" t="n">
        <x:v>80</x:v>
      </x:c>
      <x:c r="K266" s="12" t="n">
        <x:f>IF(D266="A",5,0)</x:f>
        <x:v>0</x:v>
      </x:c>
    </x:row>
    <x:row r="267" ht="30" customHeight="1">
      <x:c r="A267" s="11" t="n">
        <x:f>RANK.EQ(G267,$G$2:$G$523,0)</x:f>
        <x:v>266</x:v>
      </x:c>
      <x:c r="B267" s="7" t="str">
        <x:v>CQ-021</x:v>
      </x:c>
      <x:c r="C267" s="7" t="str">
        <x:v>CQ</x:v>
      </x:c>
      <x:c r="D267" s="7" t="str">
        <x:v>D</x:v>
      </x:c>
      <x:c r="E267" s="8" t="str">
        <x:v>张以诺</x:v>
      </x:c>
      <x:c r="F267" s="10" t="str">
        <x:v>重庆市巴蜀中学校</x:v>
      </x:c>
      <x:c r="G267" s="12" t="n">
        <x:f>SUM(H267:J267)+K267</x:f>
        <x:v>401</x:v>
      </x:c>
      <x:c r="H267" s="12" t="n">
        <x:v>100</x:v>
      </x:c>
      <x:c r="I267" s="12" t="n">
        <x:v>188</x:v>
      </x:c>
      <x:c r="J267" s="12" t="n">
        <x:v>113</x:v>
      </x:c>
      <x:c r="K267" s="12" t="n">
        <x:f>IF(D267="A",5,0)</x:f>
        <x:v>0</x:v>
      </x:c>
    </x:row>
    <x:row r="268" ht="30" customHeight="1">
      <x:c r="A268" s="11" t="n">
        <x:f>RANK.EQ(G268,$G$2:$G$523,0)</x:f>
        <x:v>266</x:v>
      </x:c>
      <x:c r="B268" s="7" t="str">
        <x:v>GX-004</x:v>
      </x:c>
      <x:c r="C268" s="7" t="str">
        <x:v>GX</x:v>
      </x:c>
      <x:c r="D268" s="7" t="str">
        <x:v>A</x:v>
      </x:c>
      <x:c r="E268" s="8" t="str">
        <x:v>黄梓硕</x:v>
      </x:c>
      <x:c r="F268" s="10" t="str">
        <x:v>柳州高级中学</x:v>
      </x:c>
      <x:c r="G268" s="12" t="n">
        <x:f>SUM(H268:J268)+K268</x:f>
        <x:v>401</x:v>
      </x:c>
      <x:c r="H268" s="12" t="n">
        <x:v>100</x:v>
      </x:c>
      <x:c r="I268" s="12" t="n">
        <x:v>191</x:v>
      </x:c>
      <x:c r="J268" s="12" t="n">
        <x:v>105</x:v>
      </x:c>
      <x:c r="K268" s="12" t="n">
        <x:f>IF(D268="A",5,0)</x:f>
        <x:v>5</x:v>
      </x:c>
    </x:row>
    <x:row r="269" ht="30" customHeight="1">
      <x:c r="A269" s="11" t="n">
        <x:f>RANK.EQ(G269,$G$2:$G$523,0)</x:f>
        <x:v>266</x:v>
      </x:c>
      <x:c r="B269" s="7" t="str">
        <x:v>SD-006</x:v>
      </x:c>
      <x:c r="C269" s="7" t="str">
        <x:v>SD</x:v>
      </x:c>
      <x:c r="D269" s="7" t="str">
        <x:v>A</x:v>
      </x:c>
      <x:c r="E269" s="8" t="str">
        <x:v>颜庭泽</x:v>
      </x:c>
      <x:c r="F269" s="10" t="str">
        <x:v>青岛市城阳第一高级中学</x:v>
      </x:c>
      <x:c r="G269" s="12" t="n">
        <x:f>SUM(H269:J269)+K269</x:f>
        <x:v>401</x:v>
      </x:c>
      <x:c r="H269" s="12" t="n">
        <x:v>100</x:v>
      </x:c>
      <x:c r="I269" s="12" t="n">
        <x:v>164</x:v>
      </x:c>
      <x:c r="J269" s="12" t="n">
        <x:v>132</x:v>
      </x:c>
      <x:c r="K269" s="12" t="n">
        <x:f>IF(D269="A",5,0)</x:f>
        <x:v>5</x:v>
      </x:c>
    </x:row>
    <x:row r="270" ht="30" customHeight="1">
      <x:c r="A270" s="11" t="n">
        <x:f>RANK.EQ(G270,$G$2:$G$523,0)</x:f>
        <x:v>266</x:v>
      </x:c>
      <x:c r="B270" s="7" t="str">
        <x:v>SD-008</x:v>
      </x:c>
      <x:c r="C270" s="7" t="str">
        <x:v>SD</x:v>
      </x:c>
      <x:c r="D270" s="7" t="str">
        <x:v>A</x:v>
      </x:c>
      <x:c r="E270" s="8" t="str">
        <x:v>李宸朗</x:v>
      </x:c>
      <x:c r="F270" s="10" t="str">
        <x:v>青岛市城阳第一高级中学</x:v>
      </x:c>
      <x:c r="G270" s="12" t="n">
        <x:f>SUM(H270:J270)+K270</x:f>
        <x:v>401</x:v>
      </x:c>
      <x:c r="H270" s="12" t="n">
        <x:v>100</x:v>
      </x:c>
      <x:c r="I270" s="12" t="n">
        <x:v>176</x:v>
      </x:c>
      <x:c r="J270" s="12" t="n">
        <x:v>120</x:v>
      </x:c>
      <x:c r="K270" s="12" t="n">
        <x:f>IF(D270="A",5,0)</x:f>
        <x:v>5</x:v>
      </x:c>
    </x:row>
    <x:row r="271" ht="30" customHeight="1">
      <x:c r="A271" s="11" t="n">
        <x:f>RANK.EQ(G271,$G$2:$G$523,0)</x:f>
        <x:v>270</x:v>
      </x:c>
      <x:c r="B271" s="7" t="str">
        <x:v>AH-002</x:v>
      </x:c>
      <x:c r="C271" s="7" t="str">
        <x:v>AH</x:v>
      </x:c>
      <x:c r="D271" s="7" t="str">
        <x:v>A</x:v>
      </x:c>
      <x:c r="E271" s="8" t="str">
        <x:v>韩子墨</x:v>
      </x:c>
      <x:c r="F271" s="10" t="str">
        <x:v>安徽省铜陵市第一中学</x:v>
      </x:c>
      <x:c r="G271" s="12" t="n">
        <x:f>SUM(H271:J271)+K271</x:f>
        <x:v>400</x:v>
      </x:c>
      <x:c r="H271" s="12" t="n">
        <x:v>100</x:v>
      </x:c>
      <x:c r="I271" s="12" t="n">
        <x:v>167</x:v>
      </x:c>
      <x:c r="J271" s="12" t="n">
        <x:v>128</x:v>
      </x:c>
      <x:c r="K271" s="12" t="n">
        <x:f>IF(D271="A",5,0)</x:f>
        <x:v>5</x:v>
      </x:c>
    </x:row>
    <x:row r="272" ht="30" customHeight="1">
      <x:c r="A272" s="11" t="n">
        <x:f>RANK.EQ(G272,$G$2:$G$523,0)</x:f>
        <x:v>270</x:v>
      </x:c>
      <x:c r="B272" s="7" t="str">
        <x:v>SC-026</x:v>
      </x:c>
      <x:c r="C272" s="7" t="str">
        <x:v>SC</x:v>
      </x:c>
      <x:c r="D272" s="7" t="str">
        <x:v>D</x:v>
      </x:c>
      <x:c r="E272" s="8" t="str">
        <x:v>朱翼宁</x:v>
      </x:c>
      <x:c r="F272" s="10" t="str">
        <x:v>四川省绵阳中学</x:v>
      </x:c>
      <x:c r="G272" s="12" t="n">
        <x:f>SUM(H272:J272)+K272</x:f>
        <x:v>400</x:v>
      </x:c>
      <x:c r="H272" s="12" t="n">
        <x:v>100</x:v>
      </x:c>
      <x:c r="I272" s="12" t="n">
        <x:v>168</x:v>
      </x:c>
      <x:c r="J272" s="12" t="n">
        <x:v>132</x:v>
      </x:c>
      <x:c r="K272" s="12" t="n">
        <x:f>IF(D272="A",5,0)</x:f>
        <x:v>0</x:v>
      </x:c>
    </x:row>
    <x:row r="273" ht="30" customHeight="1">
      <x:c r="A273" s="11" t="n">
        <x:f>RANK.EQ(G273,$G$2:$G$523,0)</x:f>
        <x:v>272</x:v>
      </x:c>
      <x:c r="B273" s="7" t="str">
        <x:v>SD-025</x:v>
      </x:c>
      <x:c r="C273" s="7" t="str">
        <x:v>SD</x:v>
      </x:c>
      <x:c r="D273" s="7" t="str">
        <x:v>D</x:v>
      </x:c>
      <x:c r="E273" s="8" t="str">
        <x:v>黄泓竣</x:v>
      </x:c>
      <x:c r="F273" s="10" t="str">
        <x:v>崂山区海尔路学校</x:v>
      </x:c>
      <x:c r="G273" s="12" t="n">
        <x:f>SUM(H273:J273)+K273</x:f>
        <x:v>399</x:v>
      </x:c>
      <x:c r="H273" s="12" t="n">
        <x:v>100</x:v>
      </x:c>
      <x:c r="I273" s="12" t="n">
        <x:v>179</x:v>
      </x:c>
      <x:c r="J273" s="12" t="n">
        <x:v>120</x:v>
      </x:c>
      <x:c r="K273" s="12" t="n">
        <x:f>IF(D273="A",5,0)</x:f>
        <x:v>0</x:v>
      </x:c>
    </x:row>
    <x:row r="274" ht="30" customHeight="1">
      <x:c r="A274" s="11" t="n">
        <x:f>RANK.EQ(G274,$G$2:$G$523,0)</x:f>
        <x:v>272</x:v>
      </x:c>
      <x:c r="B274" s="7" t="str">
        <x:v>SH-018</x:v>
      </x:c>
      <x:c r="C274" s="7" t="str">
        <x:v>SH</x:v>
      </x:c>
      <x:c r="D274" s="7" t="str">
        <x:v>D</x:v>
      </x:c>
      <x:c r="E274" s="8" t="str">
        <x:v>陈思明</x:v>
      </x:c>
      <x:c r="F274" s="10" t="str">
        <x:v>华东师范大学第二附属中学前滩学校</x:v>
      </x:c>
      <x:c r="G274" s="12" t="n">
        <x:f>SUM(H274:J274)+K274</x:f>
        <x:v>399</x:v>
      </x:c>
      <x:c r="H274" s="12" t="n">
        <x:v>99</x:v>
      </x:c>
      <x:c r="I274" s="12" t="n">
        <x:v>176</x:v>
      </x:c>
      <x:c r="J274" s="12" t="n">
        <x:v>124</x:v>
      </x:c>
      <x:c r="K274" s="12" t="n">
        <x:f>IF(D274="A",5,0)</x:f>
        <x:v>0</x:v>
      </x:c>
    </x:row>
    <x:row r="275" ht="30" customHeight="1">
      <x:c r="A275" s="11" t="n">
        <x:f>RANK.EQ(G275,$G$2:$G$523,0)</x:f>
        <x:v>274</x:v>
      </x:c>
      <x:c r="B275" s="7" t="str">
        <x:v>BJ-026</x:v>
      </x:c>
      <x:c r="C275" s="7" t="str">
        <x:v>BJ</x:v>
      </x:c>
      <x:c r="D275" s="7" t="str">
        <x:v>D</x:v>
      </x:c>
      <x:c r="E275" s="8" t="str">
        <x:v>李星成</x:v>
      </x:c>
      <x:c r="F275" s="10" t="str">
        <x:v>北京市第一五九中学</x:v>
      </x:c>
      <x:c r="G275" s="12" t="n">
        <x:f>SUM(H275:J275)+K275</x:f>
        <x:v>398</x:v>
      </x:c>
      <x:c r="H275" s="12" t="n">
        <x:v>99</x:v>
      </x:c>
      <x:c r="I275" s="12" t="n">
        <x:v>163</x:v>
      </x:c>
      <x:c r="J275" s="12" t="n">
        <x:v>136</x:v>
      </x:c>
      <x:c r="K275" s="12" t="n">
        <x:f>IF(D275="A",5,0)</x:f>
        <x:v>0</x:v>
      </x:c>
    </x:row>
    <x:row r="276" ht="30" customHeight="1">
      <x:c r="A276" s="11" t="n">
        <x:f>RANK.EQ(G276,$G$2:$G$523,0)</x:f>
        <x:v>274</x:v>
      </x:c>
      <x:c r="B276" s="7" t="str">
        <x:v>HA-010</x:v>
      </x:c>
      <x:c r="C276" s="7" t="str">
        <x:v>HA</x:v>
      </x:c>
      <x:c r="D276" s="7" t="str">
        <x:v>D</x:v>
      </x:c>
      <x:c r="E276" s="8" t="str">
        <x:v>张浩然</x:v>
      </x:c>
      <x:c r="F276" s="10" t="str">
        <x:v>郑州外国语新枫杨学校</x:v>
      </x:c>
      <x:c r="G276" s="12" t="n">
        <x:f>SUM(H276:J276)+K276</x:f>
        <x:v>398</x:v>
      </x:c>
      <x:c r="H276" s="12" t="n">
        <x:v>100</x:v>
      </x:c>
      <x:c r="I276" s="12" t="n">
        <x:v>166</x:v>
      </x:c>
      <x:c r="J276" s="12" t="n">
        <x:v>132</x:v>
      </x:c>
      <x:c r="K276" s="12" t="n">
        <x:f>IF(D276="A",5,0)</x:f>
        <x:v>0</x:v>
      </x:c>
    </x:row>
    <x:row r="277" ht="30" customHeight="1">
      <x:c r="A277" s="11" t="n">
        <x:f>RANK.EQ(G277,$G$2:$G$523,0)</x:f>
        <x:v>276</x:v>
      </x:c>
      <x:c r="B277" s="7" t="str">
        <x:v>HE-010</x:v>
      </x:c>
      <x:c r="C277" s="7" t="str">
        <x:v>HE</x:v>
      </x:c>
      <x:c r="D277" s="7" t="str">
        <x:v>B</x:v>
      </x:c>
      <x:c r="E277" s="8" t="str">
        <x:v>霍丁恺</x:v>
      </x:c>
      <x:c r="F277" s="10" t="str">
        <x:v>石家庄二中实验学校</x:v>
      </x:c>
      <x:c r="G277" s="12" t="n">
        <x:f>SUM(H277:J277)+K277</x:f>
        <x:v>397</x:v>
      </x:c>
      <x:c r="H277" s="12" t="n">
        <x:v>100</x:v>
      </x:c>
      <x:c r="I277" s="12" t="n">
        <x:v>194</x:v>
      </x:c>
      <x:c r="J277" s="12" t="n">
        <x:v>103</x:v>
      </x:c>
      <x:c r="K277" s="12" t="n">
        <x:f>IF(D277="A",5,0)</x:f>
        <x:v>0</x:v>
      </x:c>
    </x:row>
    <x:row r="278" ht="30" customHeight="1">
      <x:c r="A278" s="11" t="n">
        <x:f>RANK.EQ(G278,$G$2:$G$523,0)</x:f>
        <x:v>276</x:v>
      </x:c>
      <x:c r="B278" s="7" t="str">
        <x:v>SD-017</x:v>
      </x:c>
      <x:c r="C278" s="7" t="str">
        <x:v>SD</x:v>
      </x:c>
      <x:c r="D278" s="7" t="str">
        <x:v>B</x:v>
      </x:c>
      <x:c r="E278" s="8" t="str">
        <x:v>胡淑杨</x:v>
      </x:c>
      <x:c r="F278" s="10" t="str">
        <x:v>东营市胜利第一中学</x:v>
      </x:c>
      <x:c r="G278" s="12" t="n">
        <x:f>SUM(H278:J278)+K278</x:f>
        <x:v>397</x:v>
      </x:c>
      <x:c r="H278" s="12" t="n">
        <x:v>100</x:v>
      </x:c>
      <x:c r="I278" s="12" t="n">
        <x:v>165</x:v>
      </x:c>
      <x:c r="J278" s="12" t="n">
        <x:v>132</x:v>
      </x:c>
      <x:c r="K278" s="12" t="n">
        <x:f>IF(D278="A",5,0)</x:f>
        <x:v>0</x:v>
      </x:c>
    </x:row>
    <x:row r="279" ht="30" customHeight="1">
      <x:c r="A279" s="11" t="n">
        <x:f>RANK.EQ(G279,$G$2:$G$523,0)</x:f>
        <x:v>276</x:v>
      </x:c>
      <x:c r="B279" s="7" t="str">
        <x:v>SN-017</x:v>
      </x:c>
      <x:c r="C279" s="7" t="str">
        <x:v>SN</x:v>
      </x:c>
      <x:c r="D279" s="7" t="str">
        <x:v>E</x:v>
      </x:c>
      <x:c r="E279" s="8" t="str">
        <x:v>丁子博</x:v>
      </x:c>
      <x:c r="F279" s="10" t="str">
        <x:v>西安高新区第三初级中学</x:v>
      </x:c>
      <x:c r="G279" s="12" t="n">
        <x:f>SUM(H279:J279)+K279</x:f>
        <x:v>397</x:v>
      </x:c>
      <x:c r="H279" s="12" t="n">
        <x:v>100</x:v>
      </x:c>
      <x:c r="I279" s="12" t="n">
        <x:v>163</x:v>
      </x:c>
      <x:c r="J279" s="12" t="n">
        <x:v>134</x:v>
      </x:c>
      <x:c r="K279" s="12" t="n">
        <x:f>IF(D279="A",5,0)</x:f>
        <x:v>0</x:v>
      </x:c>
    </x:row>
    <x:row r="280" ht="30" customHeight="1">
      <x:c r="A280" s="11" t="n">
        <x:f>RANK.EQ(G280,$G$2:$G$523,0)</x:f>
        <x:v>279</x:v>
      </x:c>
      <x:c r="B280" s="7" t="str">
        <x:v>HN-016</x:v>
      </x:c>
      <x:c r="C280" s="7" t="str">
        <x:v>HN</x:v>
      </x:c>
      <x:c r="D280" s="7" t="str">
        <x:v>D</x:v>
      </x:c>
      <x:c r="E280" s="8" t="str">
        <x:v>左凯瑞</x:v>
      </x:c>
      <x:c r="F280" s="10" t="str">
        <x:v>长沙麓山外国语实验中学</x:v>
      </x:c>
      <x:c r="G280" s="12" t="n">
        <x:f>SUM(H280:J280)+K280</x:f>
        <x:v>396</x:v>
      </x:c>
      <x:c r="H280" s="12" t="n">
        <x:v>99</x:v>
      </x:c>
      <x:c r="I280" s="12" t="n">
        <x:v>182</x:v>
      </x:c>
      <x:c r="J280" s="12" t="n">
        <x:v>115</x:v>
      </x:c>
      <x:c r="K280" s="12" t="n">
        <x:f>IF(D280="A",5,0)</x:f>
        <x:v>0</x:v>
      </x:c>
    </x:row>
    <x:row r="281" ht="30" customHeight="1">
      <x:c r="A281" s="11" t="n">
        <x:f>RANK.EQ(G281,$G$2:$G$523,0)</x:f>
        <x:v>279</x:v>
      </x:c>
      <x:c r="B281" s="7" t="str">
        <x:v>SD-016</x:v>
      </x:c>
      <x:c r="C281" s="7" t="str">
        <x:v>SD</x:v>
      </x:c>
      <x:c r="D281" s="7" t="str">
        <x:v>B</x:v>
      </x:c>
      <x:c r="E281" s="8" t="str">
        <x:v>贺钰书</x:v>
      </x:c>
      <x:c r="F281" s="10" t="str">
        <x:v>山东省青岛第二中学</x:v>
      </x:c>
      <x:c r="G281" s="12" t="n">
        <x:f>SUM(H281:J281)+K281</x:f>
        <x:v>396</x:v>
      </x:c>
      <x:c r="H281" s="12" t="n">
        <x:v>100</x:v>
      </x:c>
      <x:c r="I281" s="12" t="n">
        <x:v>176</x:v>
      </x:c>
      <x:c r="J281" s="12" t="n">
        <x:v>120</x:v>
      </x:c>
      <x:c r="K281" s="12" t="n">
        <x:f>IF(D281="A",5,0)</x:f>
        <x:v>0</x:v>
      </x:c>
    </x:row>
    <x:row r="282" ht="30" customHeight="1">
      <x:c r="A282" s="11" t="n">
        <x:f>RANK.EQ(G282,$G$2:$G$523,0)</x:f>
        <x:v>279</x:v>
      </x:c>
      <x:c r="B282" s="7" t="str">
        <x:v>YN-001</x:v>
      </x:c>
      <x:c r="C282" s="7" t="str">
        <x:v>YN</x:v>
      </x:c>
      <x:c r="D282" s="7" t="str">
        <x:v>A</x:v>
      </x:c>
      <x:c r="E282" s="8" t="str">
        <x:v>姜俊衔</x:v>
      </x:c>
      <x:c r="F282" s="10" t="str">
        <x:v>云南师范大学附属中学</x:v>
      </x:c>
      <x:c r="G282" s="12" t="n">
        <x:f>SUM(H282:J282)+K282</x:f>
        <x:v>396</x:v>
      </x:c>
      <x:c r="H282" s="12" t="n">
        <x:v>100</x:v>
      </x:c>
      <x:c r="I282" s="12" t="n">
        <x:v>193</x:v>
      </x:c>
      <x:c r="J282" s="12" t="n">
        <x:v>98</x:v>
      </x:c>
      <x:c r="K282" s="12" t="n">
        <x:f>IF(D282="A",5,0)</x:f>
        <x:v>5</x:v>
      </x:c>
    </x:row>
    <x:row r="283" ht="30" customHeight="1">
      <x:c r="A283" s="11" t="n">
        <x:f>RANK.EQ(G283,$G$2:$G$523,0)</x:f>
        <x:v>282</x:v>
      </x:c>
      <x:c r="B283" s="7" t="str">
        <x:v>BJ-025</x:v>
      </x:c>
      <x:c r="C283" s="7" t="str">
        <x:v>BJ</x:v>
      </x:c>
      <x:c r="D283" s="7" t="str">
        <x:v>D</x:v>
      </x:c>
      <x:c r="E283" s="8" t="str">
        <x:v>于天泽</x:v>
      </x:c>
      <x:c r="F283" s="10" t="str">
        <x:v>北京师范大学附属实验中学</x:v>
      </x:c>
      <x:c r="G283" s="12" t="n">
        <x:f>SUM(H283:J283)+K283</x:f>
        <x:v>395</x:v>
      </x:c>
      <x:c r="H283" s="12" t="n">
        <x:v>99</x:v>
      </x:c>
      <x:c r="I283" s="12" t="n">
        <x:v>173</x:v>
      </x:c>
      <x:c r="J283" s="12" t="n">
        <x:v>123</x:v>
      </x:c>
      <x:c r="K283" s="12" t="n">
        <x:f>IF(D283="A",5,0)</x:f>
        <x:v>0</x:v>
      </x:c>
    </x:row>
    <x:row r="284" ht="30" customHeight="1">
      <x:c r="A284" s="11" t="n">
        <x:f>RANK.EQ(G284,$G$2:$G$523,0)</x:f>
        <x:v>282</x:v>
      </x:c>
      <x:c r="B284" s="7" t="str">
        <x:v>GD-028</x:v>
      </x:c>
      <x:c r="C284" s="7" t="str">
        <x:v>GD</x:v>
      </x:c>
      <x:c r="D284" s="7" t="str">
        <x:v>D</x:v>
      </x:c>
      <x:c r="E284" s="8" t="str">
        <x:v>黄景梵</x:v>
      </x:c>
      <x:c r="F284" s="10" t="str">
        <x:v>中山市中山纪念中学</x:v>
      </x:c>
      <x:c r="G284" s="12" t="n">
        <x:f>SUM(H284:J284)+K284</x:f>
        <x:v>395</x:v>
      </x:c>
      <x:c r="H284" s="12" t="n">
        <x:v>100</x:v>
      </x:c>
      <x:c r="I284" s="12" t="n">
        <x:v>167</x:v>
      </x:c>
      <x:c r="J284" s="12" t="n">
        <x:v>128</x:v>
      </x:c>
      <x:c r="K284" s="12" t="n">
        <x:f>IF(D284="A",5,0)</x:f>
        <x:v>0</x:v>
      </x:c>
    </x:row>
    <x:row r="285" ht="30" customHeight="1">
      <x:c r="A285" s="11" t="n">
        <x:f>RANK.EQ(G285,$G$2:$G$523,0)</x:f>
        <x:v>282</x:v>
      </x:c>
      <x:c r="B285" s="7" t="str">
        <x:v>HA-008</x:v>
      </x:c>
      <x:c r="C285" s="7" t="str">
        <x:v>HA</x:v>
      </x:c>
      <x:c r="D285" s="7" t="str">
        <x:v>B</x:v>
      </x:c>
      <x:c r="E285" s="8" t="str">
        <x:v>朱轩皞</x:v>
      </x:c>
      <x:c r="F285" s="10" t="str">
        <x:v>郑州市第一中学</x:v>
      </x:c>
      <x:c r="G285" s="12" t="n">
        <x:f>SUM(H285:J285)+K285</x:f>
        <x:v>395</x:v>
      </x:c>
      <x:c r="H285" s="12" t="n">
        <x:v>100</x:v>
      </x:c>
      <x:c r="I285" s="12" t="n">
        <x:v>163</x:v>
      </x:c>
      <x:c r="J285" s="12" t="n">
        <x:v>132</x:v>
      </x:c>
      <x:c r="K285" s="12" t="n">
        <x:f>IF(D285="A",5,0)</x:f>
        <x:v>0</x:v>
      </x:c>
    </x:row>
    <x:row r="286" ht="30" customHeight="1">
      <x:c r="A286" s="11" t="n">
        <x:f>RANK.EQ(G286,$G$2:$G$523,0)</x:f>
        <x:v>282</x:v>
      </x:c>
      <x:c r="B286" s="7" t="str">
        <x:v>SC-018</x:v>
      </x:c>
      <x:c r="C286" s="7" t="str">
        <x:v>SC</x:v>
      </x:c>
      <x:c r="D286" s="7" t="str">
        <x:v>D</x:v>
      </x:c>
      <x:c r="E286" s="8" t="str">
        <x:v>陈逸尘</x:v>
      </x:c>
      <x:c r="F286" s="10" t="str">
        <x:v>天府第七中学</x:v>
      </x:c>
      <x:c r="G286" s="12" t="n">
        <x:f>SUM(H286:J286)+K286</x:f>
        <x:v>395</x:v>
      </x:c>
      <x:c r="H286" s="12" t="n">
        <x:v>100</x:v>
      </x:c>
      <x:c r="I286" s="12" t="n">
        <x:v>189</x:v>
      </x:c>
      <x:c r="J286" s="12" t="n">
        <x:v>106</x:v>
      </x:c>
      <x:c r="K286" s="12" t="n">
        <x:f>IF(D286="A",5,0)</x:f>
        <x:v>0</x:v>
      </x:c>
    </x:row>
    <x:row r="287" ht="30" customHeight="1">
      <x:c r="A287" s="11" t="n">
        <x:f>RANK.EQ(G287,$G$2:$G$523,0)</x:f>
        <x:v>282</x:v>
      </x:c>
      <x:c r="B287" s="7" t="str">
        <x:v>SN-007</x:v>
      </x:c>
      <x:c r="C287" s="7" t="str">
        <x:v>SN</x:v>
      </x:c>
      <x:c r="D287" s="7" t="str">
        <x:v>B</x:v>
      </x:c>
      <x:c r="E287" s="8" t="str">
        <x:v>刘昱合</x:v>
      </x:c>
      <x:c r="F287" s="10" t="str">
        <x:v>西安高新一中沣东中学</x:v>
      </x:c>
      <x:c r="G287" s="12" t="n">
        <x:f>SUM(H287:J287)+K287</x:f>
        <x:v>395</x:v>
      </x:c>
      <x:c r="H287" s="12" t="n">
        <x:v>100</x:v>
      </x:c>
      <x:c r="I287" s="12" t="n">
        <x:v>167</x:v>
      </x:c>
      <x:c r="J287" s="12" t="n">
        <x:v>128</x:v>
      </x:c>
      <x:c r="K287" s="12" t="n">
        <x:f>IF(D287="A",5,0)</x:f>
        <x:v>0</x:v>
      </x:c>
    </x:row>
    <x:row r="288" ht="30" customHeight="1">
      <x:c r="A288" s="11" t="n">
        <x:f>RANK.EQ(G288,$G$2:$G$523,0)</x:f>
        <x:v>282</x:v>
      </x:c>
      <x:c r="B288" s="7" t="str">
        <x:v>SX-001</x:v>
      </x:c>
      <x:c r="C288" s="7" t="str">
        <x:v>SX</x:v>
      </x:c>
      <x:c r="D288" s="7" t="str">
        <x:v>A</x:v>
      </x:c>
      <x:c r="E288" s="8" t="str">
        <x:v>李钰涵</x:v>
      </x:c>
      <x:c r="F288" s="10" t="str">
        <x:v>山西大学附属中学校</x:v>
      </x:c>
      <x:c r="G288" s="12" t="n">
        <x:f>SUM(H288:J288)+K288</x:f>
        <x:v>395</x:v>
      </x:c>
      <x:c r="H288" s="12" t="n">
        <x:v>100</x:v>
      </x:c>
      <x:c r="I288" s="12" t="n">
        <x:v>154</x:v>
      </x:c>
      <x:c r="J288" s="12" t="n">
        <x:v>136</x:v>
      </x:c>
      <x:c r="K288" s="12" t="n">
        <x:f>IF(D288="A",5,0)</x:f>
        <x:v>5</x:v>
      </x:c>
    </x:row>
    <x:row r="289" ht="30" customHeight="1">
      <x:c r="A289" s="11" t="n">
        <x:f>RANK.EQ(G289,$G$2:$G$523,0)</x:f>
        <x:v>288</x:v>
      </x:c>
      <x:c r="B289" s="7" t="str">
        <x:v>BJ-009</x:v>
      </x:c>
      <x:c r="C289" s="7" t="str">
        <x:v>BJ</x:v>
      </x:c>
      <x:c r="D289" s="7" t="str">
        <x:v>B</x:v>
      </x:c>
      <x:c r="E289" s="8" t="str">
        <x:v>王心怡</x:v>
      </x:c>
      <x:c r="F289" s="10" t="str">
        <x:v>北京大学附属中学</x:v>
      </x:c>
      <x:c r="G289" s="12" t="n">
        <x:f>SUM(H289:J289)+K289</x:f>
        <x:v>394</x:v>
      </x:c>
      <x:c r="H289" s="12" t="n">
        <x:v>100</x:v>
      </x:c>
      <x:c r="I289" s="12" t="n">
        <x:v>171</x:v>
      </x:c>
      <x:c r="J289" s="12" t="n">
        <x:v>123</x:v>
      </x:c>
      <x:c r="K289" s="12" t="n">
        <x:f>IF(D289="A",5,0)</x:f>
        <x:v>0</x:v>
      </x:c>
    </x:row>
    <x:row r="290" ht="30" customHeight="1">
      <x:c r="A290" s="11" t="n">
        <x:f>RANK.EQ(G290,$G$2:$G$523,0)</x:f>
        <x:v>288</x:v>
      </x:c>
      <x:c r="B290" s="7" t="str">
        <x:v>BJ-016</x:v>
      </x:c>
      <x:c r="C290" s="7" t="str">
        <x:v>BJ</x:v>
      </x:c>
      <x:c r="D290" s="7" t="str">
        <x:v>B</x:v>
      </x:c>
      <x:c r="E290" s="8" t="str">
        <x:v>田滨诚</x:v>
      </x:c>
      <x:c r="F290" s="10" t="str">
        <x:v>清华大学附属中学将台路校区</x:v>
      </x:c>
      <x:c r="G290" s="12" t="n">
        <x:f>SUM(H290:J290)+K290</x:f>
        <x:v>394</x:v>
      </x:c>
      <x:c r="H290" s="12" t="n">
        <x:v>100</x:v>
      </x:c>
      <x:c r="I290" s="12" t="n">
        <x:v>174</x:v>
      </x:c>
      <x:c r="J290" s="12" t="n">
        <x:v>120</x:v>
      </x:c>
      <x:c r="K290" s="12" t="n">
        <x:f>IF(D290="A",5,0)</x:f>
        <x:v>0</x:v>
      </x:c>
    </x:row>
    <x:row r="291" ht="30" customHeight="1">
      <x:c r="A291" s="11" t="n">
        <x:f>RANK.EQ(G291,$G$2:$G$523,0)</x:f>
        <x:v>288</x:v>
      </x:c>
      <x:c r="B291" s="7" t="str">
        <x:v>FJ-014</x:v>
      </x:c>
      <x:c r="C291" s="7" t="str">
        <x:v>FJ</x:v>
      </x:c>
      <x:c r="D291" s="7" t="str">
        <x:v>B</x:v>
      </x:c>
      <x:c r="E291" s="8" t="str">
        <x:v>吴凯晨</x:v>
      </x:c>
      <x:c r="F291" s="10" t="str">
        <x:v>福建省福清第一中学</x:v>
      </x:c>
      <x:c r="G291" s="12" t="n">
        <x:f>SUM(H291:J291)+K291</x:f>
        <x:v>394</x:v>
      </x:c>
      <x:c r="H291" s="12" t="n">
        <x:v>100</x:v>
      </x:c>
      <x:c r="I291" s="12" t="n">
        <x:v>162</x:v>
      </x:c>
      <x:c r="J291" s="12" t="n">
        <x:v>132</x:v>
      </x:c>
      <x:c r="K291" s="12" t="n">
        <x:f>IF(D291="A",5,0)</x:f>
        <x:v>0</x:v>
      </x:c>
    </x:row>
    <x:row r="292" ht="30" customHeight="1">
      <x:c r="A292" s="11" t="n">
        <x:f>RANK.EQ(G292,$G$2:$G$523,0)</x:f>
        <x:v>288</x:v>
      </x:c>
      <x:c r="B292" s="7" t="str">
        <x:v>GD-030</x:v>
      </x:c>
      <x:c r="C292" s="7" t="str">
        <x:v>GD</x:v>
      </x:c>
      <x:c r="D292" s="7" t="str">
        <x:v>D</x:v>
      </x:c>
      <x:c r="E292" s="8" t="str">
        <x:v>马明轩</x:v>
      </x:c>
      <x:c r="F292" s="10" t="str">
        <x:v>清远市广铁一中（万科城）外国语学校</x:v>
      </x:c>
      <x:c r="G292" s="12" t="n">
        <x:f>SUM(H292:J292)+K292</x:f>
        <x:v>394</x:v>
      </x:c>
      <x:c r="H292" s="12" t="n">
        <x:v>100</x:v>
      </x:c>
      <x:c r="I292" s="12" t="n">
        <x:v>166</x:v>
      </x:c>
      <x:c r="J292" s="12" t="n">
        <x:v>128</x:v>
      </x:c>
      <x:c r="K292" s="12" t="n">
        <x:f>IF(D292="A",5,0)</x:f>
        <x:v>0</x:v>
      </x:c>
    </x:row>
    <x:row r="293" ht="30" customHeight="1">
      <x:c r="A293" s="11" t="n">
        <x:f>RANK.EQ(G293,$G$2:$G$523,0)</x:f>
        <x:v>292</x:v>
      </x:c>
      <x:c r="B293" s="7" t="str">
        <x:v>CQ-010</x:v>
      </x:c>
      <x:c r="C293" s="7" t="str">
        <x:v>CQ</x:v>
      </x:c>
      <x:c r="D293" s="7" t="str">
        <x:v>B</x:v>
      </x:c>
      <x:c r="E293" s="8" t="str">
        <x:v>彭彦桐</x:v>
      </x:c>
      <x:c r="F293" s="10" t="str">
        <x:v>重庆市第八中学校</x:v>
      </x:c>
      <x:c r="G293" s="12" t="n">
        <x:f>SUM(H293:J293)+K293</x:f>
        <x:v>393</x:v>
      </x:c>
      <x:c r="H293" s="12" t="n">
        <x:v>100</x:v>
      </x:c>
      <x:c r="I293" s="12" t="n">
        <x:v>185</x:v>
      </x:c>
      <x:c r="J293" s="12" t="n">
        <x:v>108</x:v>
      </x:c>
      <x:c r="K293" s="12" t="n">
        <x:f>IF(D293="A",5,0)</x:f>
        <x:v>0</x:v>
      </x:c>
    </x:row>
    <x:row r="294" ht="30" customHeight="1">
      <x:c r="A294" s="11" t="n">
        <x:f>RANK.EQ(G294,$G$2:$G$523,0)</x:f>
        <x:v>292</x:v>
      </x:c>
      <x:c r="B294" s="7" t="str">
        <x:v>HL-009</x:v>
      </x:c>
      <x:c r="C294" s="7" t="str">
        <x:v>HL</x:v>
      </x:c>
      <x:c r="D294" s="7" t="str">
        <x:v>E</x:v>
      </x:c>
      <x:c r="E294" s="8" t="str">
        <x:v>宋奕铮</x:v>
      </x:c>
      <x:c r="F294" s="10" t="str">
        <x:v>哈尔滨工业大学附属中学校</x:v>
      </x:c>
      <x:c r="G294" s="12" t="n">
        <x:f>SUM(H294:J294)+K294</x:f>
        <x:v>393</x:v>
      </x:c>
      <x:c r="H294" s="12" t="n">
        <x:v>100</x:v>
      </x:c>
      <x:c r="I294" s="12" t="n">
        <x:v>170</x:v>
      </x:c>
      <x:c r="J294" s="12" t="n">
        <x:v>123</x:v>
      </x:c>
      <x:c r="K294" s="12" t="n">
        <x:f>IF(D294="A",5,0)</x:f>
        <x:v>0</x:v>
      </x:c>
    </x:row>
    <x:row r="295" ht="30" customHeight="1">
      <x:c r="A295" s="11" t="n">
        <x:f>RANK.EQ(G295,$G$2:$G$523,0)</x:f>
        <x:v>292</x:v>
      </x:c>
      <x:c r="B295" s="7" t="str">
        <x:v>JX-003</x:v>
      </x:c>
      <x:c r="C295" s="7" t="str">
        <x:v>JX</x:v>
      </x:c>
      <x:c r="D295" s="7" t="str">
        <x:v>A</x:v>
      </x:c>
      <x:c r="E295" s="8" t="str">
        <x:v>廖泽凯</x:v>
      </x:c>
      <x:c r="F295" s="10" t="str">
        <x:v>赣州市第三中学</x:v>
      </x:c>
      <x:c r="G295" s="12" t="n">
        <x:f>SUM(H295:J295)+K295</x:f>
        <x:v>393</x:v>
      </x:c>
      <x:c r="H295" s="12" t="n">
        <x:v>100</x:v>
      </x:c>
      <x:c r="I295" s="12" t="n">
        <x:v>157</x:v>
      </x:c>
      <x:c r="J295" s="12" t="n">
        <x:v>131</x:v>
      </x:c>
      <x:c r="K295" s="12" t="n">
        <x:f>IF(D295="A",5,0)</x:f>
        <x:v>5</x:v>
      </x:c>
    </x:row>
    <x:row r="296" ht="30" customHeight="1">
      <x:c r="A296" s="11" t="n">
        <x:f>RANK.EQ(G296,$G$2:$G$523,0)</x:f>
        <x:v>295</x:v>
      </x:c>
      <x:c r="B296" s="7" t="str">
        <x:v>HB-006</x:v>
      </x:c>
      <x:c r="C296" s="7" t="str">
        <x:v>HB</x:v>
      </x:c>
      <x:c r="D296" s="7" t="str">
        <x:v>B</x:v>
      </x:c>
      <x:c r="E296" s="8" t="str">
        <x:v>李霈然</x:v>
      </x:c>
      <x:c r="F296" s="10" t="str">
        <x:v>武汉经开外国语高级中学</x:v>
      </x:c>
      <x:c r="G296" s="12" t="n">
        <x:f>SUM(H296:J296)+K296</x:f>
        <x:v>392</x:v>
      </x:c>
      <x:c r="H296" s="12" t="n">
        <x:v>100</x:v>
      </x:c>
      <x:c r="I296" s="12" t="n">
        <x:v>160</x:v>
      </x:c>
      <x:c r="J296" s="12" t="n">
        <x:v>132</x:v>
      </x:c>
      <x:c r="K296" s="12" t="n">
        <x:f>IF(D296="A",5,0)</x:f>
        <x:v>0</x:v>
      </x:c>
    </x:row>
    <x:row r="297" ht="30" customHeight="1">
      <x:c r="A297" s="11" t="n">
        <x:f>RANK.EQ(G297,$G$2:$G$523,0)</x:f>
        <x:v>295</x:v>
      </x:c>
      <x:c r="B297" s="7" t="str">
        <x:v>SC-010</x:v>
      </x:c>
      <x:c r="C297" s="7" t="str">
        <x:v>SC</x:v>
      </x:c>
      <x:c r="D297" s="7" t="str">
        <x:v>B</x:v>
      </x:c>
      <x:c r="E297" s="8" t="str">
        <x:v>孙邦博</x:v>
      </x:c>
      <x:c r="F297" s="10" t="str">
        <x:v>乐山高新区嘉祥外国语学校</x:v>
      </x:c>
      <x:c r="G297" s="12" t="n">
        <x:f>SUM(H297:J297)+K297</x:f>
        <x:v>392</x:v>
      </x:c>
      <x:c r="H297" s="12" t="n">
        <x:v>100</x:v>
      </x:c>
      <x:c r="I297" s="12" t="n">
        <x:v>193</x:v>
      </x:c>
      <x:c r="J297" s="12" t="n">
        <x:v>99</x:v>
      </x:c>
      <x:c r="K297" s="12" t="n">
        <x:f>IF(D297="A",5,0)</x:f>
        <x:v>0</x:v>
      </x:c>
    </x:row>
    <x:row r="298" ht="30" customHeight="1">
      <x:c r="A298" s="11" t="n">
        <x:f>RANK.EQ(G298,$G$2:$G$523,0)</x:f>
        <x:v>295</x:v>
      </x:c>
      <x:c r="B298" s="7" t="str">
        <x:v>SD-031</x:v>
      </x:c>
      <x:c r="C298" s="7" t="str">
        <x:v>SD</x:v>
      </x:c>
      <x:c r="D298" s="7" t="str">
        <x:v>D</x:v>
      </x:c>
      <x:c r="E298" s="8" t="str">
        <x:v>郑瑞霖</x:v>
      </x:c>
      <x:c r="F298" s="10" t="str">
        <x:v>潍坊高新技术产业开发区实验学校</x:v>
      </x:c>
      <x:c r="G298" s="12" t="n">
        <x:f>SUM(H298:J298)+K298</x:f>
        <x:v>392</x:v>
      </x:c>
      <x:c r="H298" s="12" t="n">
        <x:v>100</x:v>
      </x:c>
      <x:c r="I298" s="12" t="n">
        <x:v>177</x:v>
      </x:c>
      <x:c r="J298" s="12" t="n">
        <x:v>115</x:v>
      </x:c>
      <x:c r="K298" s="12" t="n">
        <x:f>IF(D298="A",5,0)</x:f>
        <x:v>0</x:v>
      </x:c>
    </x:row>
    <x:row r="299" ht="30" customHeight="1">
      <x:c r="A299" s="11" t="n">
        <x:f>RANK.EQ(G299,$G$2:$G$523,0)</x:f>
        <x:v>298</x:v>
      </x:c>
      <x:c r="B299" s="7" t="str">
        <x:v>HN-023</x:v>
      </x:c>
      <x:c r="C299" s="7" t="str">
        <x:v>HN</x:v>
      </x:c>
      <x:c r="D299" s="7" t="str">
        <x:v>D</x:v>
      </x:c>
      <x:c r="E299" s="8" t="str">
        <x:v>谢涵瑞</x:v>
      </x:c>
      <x:c r="F299" s="10" t="str">
        <x:v>湖南师范大学附属中学</x:v>
      </x:c>
      <x:c r="G299" s="12" t="n">
        <x:f>SUM(H299:J299)+K299</x:f>
        <x:v>391</x:v>
      </x:c>
      <x:c r="H299" s="12" t="n">
        <x:v>99</x:v>
      </x:c>
      <x:c r="I299" s="12" t="n">
        <x:v>168</x:v>
      </x:c>
      <x:c r="J299" s="12" t="n">
        <x:v>124</x:v>
      </x:c>
      <x:c r="K299" s="12" t="n">
        <x:f>IF(D299="A",5,0)</x:f>
        <x:v>0</x:v>
      </x:c>
    </x:row>
    <x:row r="300" ht="30" customHeight="1">
      <x:c r="A300" s="11" t="n">
        <x:f>RANK.EQ(G300,$G$2:$G$523,0)</x:f>
        <x:v>299</x:v>
      </x:c>
      <x:c r="B300" s="7" t="str">
        <x:v>AH-008</x:v>
      </x:c>
      <x:c r="C300" s="7" t="str">
        <x:v>AH</x:v>
      </x:c>
      <x:c r="D300" s="7" t="str">
        <x:v>B</x:v>
      </x:c>
      <x:c r="E300" s="8" t="str">
        <x:v>程竹</x:v>
      </x:c>
      <x:c r="F300" s="10" t="str">
        <x:v>合肥一六八中学</x:v>
      </x:c>
      <x:c r="G300" s="12" t="n">
        <x:f>SUM(H300:J300)+K300</x:f>
        <x:v>390</x:v>
      </x:c>
      <x:c r="H300" s="12" t="n">
        <x:v>100</x:v>
      </x:c>
      <x:c r="I300" s="12" t="n">
        <x:v>158</x:v>
      </x:c>
      <x:c r="J300" s="12" t="n">
        <x:v>132</x:v>
      </x:c>
      <x:c r="K300" s="12" t="n">
        <x:f>IF(D300="A",5,0)</x:f>
        <x:v>0</x:v>
      </x:c>
    </x:row>
    <x:row r="301" ht="30" customHeight="1">
      <x:c r="A301" s="11" t="n">
        <x:f>RANK.EQ(G301,$G$2:$G$523,0)</x:f>
        <x:v>299</x:v>
      </x:c>
      <x:c r="B301" s="7" t="str">
        <x:v>GX-009</x:v>
      </x:c>
      <x:c r="C301" s="7" t="str">
        <x:v>GX</x:v>
      </x:c>
      <x:c r="D301" s="7" t="str">
        <x:v>E</x:v>
      </x:c>
      <x:c r="E301" s="8" t="str">
        <x:v>张博然</x:v>
      </x:c>
      <x:c r="F301" s="10" t="str">
        <x:v>南宁市第三中学</x:v>
      </x:c>
      <x:c r="G301" s="12" t="n">
        <x:f>SUM(H301:J301)+K301</x:f>
        <x:v>390</x:v>
      </x:c>
      <x:c r="H301" s="12" t="n">
        <x:v>100</x:v>
      </x:c>
      <x:c r="I301" s="12" t="n">
        <x:v>170</x:v>
      </x:c>
      <x:c r="J301" s="12" t="n">
        <x:v>120</x:v>
      </x:c>
      <x:c r="K301" s="12" t="n">
        <x:f>IF(D301="A",5,0)</x:f>
        <x:v>0</x:v>
      </x:c>
    </x:row>
    <x:row r="302" ht="30" customHeight="1">
      <x:c r="A302" s="11" t="n">
        <x:f>RANK.EQ(G302,$G$2:$G$523,0)</x:f>
        <x:v>301</x:v>
      </x:c>
      <x:c r="B302" s="7" t="str">
        <x:v>JS-019</x:v>
      </x:c>
      <x:c r="C302" s="7" t="str">
        <x:v>JS</x:v>
      </x:c>
      <x:c r="D302" s="7" t="str">
        <x:v>B</x:v>
      </x:c>
      <x:c r="E302" s="8" t="str">
        <x:v>陈煜轩</x:v>
      </x:c>
      <x:c r="F302" s="10" t="str">
        <x:v>江苏省锡山高级中学</x:v>
      </x:c>
      <x:c r="G302" s="12" t="n">
        <x:f>SUM(H302:J302)+K302</x:f>
        <x:v>389</x:v>
      </x:c>
      <x:c r="H302" s="12" t="n">
        <x:v>100</x:v>
      </x:c>
      <x:c r="I302" s="12" t="n">
        <x:v>179</x:v>
      </x:c>
      <x:c r="J302" s="12" t="n">
        <x:v>110</x:v>
      </x:c>
      <x:c r="K302" s="12" t="n">
        <x:f>IF(D302="A",5,0)</x:f>
        <x:v>0</x:v>
      </x:c>
    </x:row>
    <x:row r="303" ht="30" customHeight="1">
      <x:c r="A303" s="11" t="n">
        <x:f>RANK.EQ(G303,$G$2:$G$523,0)</x:f>
        <x:v>301</x:v>
      </x:c>
      <x:c r="B303" s="7" t="str">
        <x:v>JX-006</x:v>
      </x:c>
      <x:c r="C303" s="7" t="str">
        <x:v>JX</x:v>
      </x:c>
      <x:c r="D303" s="7" t="str">
        <x:v>B</x:v>
      </x:c>
      <x:c r="E303" s="8" t="str">
        <x:v>周沐瑞</x:v>
      </x:c>
      <x:c r="F303" s="10" t="str">
        <x:v>江西师范大学附属中学</x:v>
      </x:c>
      <x:c r="G303" s="12" t="n">
        <x:f>SUM(H303:J303)+K303</x:f>
        <x:v>389</x:v>
      </x:c>
      <x:c r="H303" s="12" t="n">
        <x:v>99</x:v>
      </x:c>
      <x:c r="I303" s="12" t="n">
        <x:v>170</x:v>
      </x:c>
      <x:c r="J303" s="12" t="n">
        <x:v>120</x:v>
      </x:c>
      <x:c r="K303" s="12" t="n">
        <x:f>IF(D303="A",5,0)</x:f>
        <x:v>0</x:v>
      </x:c>
    </x:row>
    <x:row r="304" ht="30" customHeight="1">
      <x:c r="A304" s="11" t="n">
        <x:f>RANK.EQ(G304,$G$2:$G$523,0)</x:f>
        <x:v>303</x:v>
      </x:c>
      <x:c r="B304" s="7" t="str">
        <x:v>GD-021</x:v>
      </x:c>
      <x:c r="C304" s="7" t="str">
        <x:v>GD</x:v>
      </x:c>
      <x:c r="D304" s="7" t="str">
        <x:v>D</x:v>
      </x:c>
      <x:c r="E304" s="8" t="str">
        <x:v>刘航聿</x:v>
      </x:c>
      <x:c r="F304" s="10" t="str">
        <x:v>深圳市耀华实验学校</x:v>
      </x:c>
      <x:c r="G304" s="12" t="n">
        <x:f>SUM(H304:J304)+K304</x:f>
        <x:v>388</x:v>
      </x:c>
      <x:c r="H304" s="12" t="n">
        <x:v>100</x:v>
      </x:c>
      <x:c r="I304" s="12" t="n">
        <x:v>152</x:v>
      </x:c>
      <x:c r="J304" s="12" t="n">
        <x:v>136</x:v>
      </x:c>
      <x:c r="K304" s="12" t="n">
        <x:f>IF(D304="A",5,0)</x:f>
        <x:v>0</x:v>
      </x:c>
    </x:row>
    <x:row r="305" ht="30" customHeight="1">
      <x:c r="A305" s="11" t="n">
        <x:f>RANK.EQ(G305,$G$2:$G$523,0)</x:f>
        <x:v>303</x:v>
      </x:c>
      <x:c r="B305" s="7" t="str">
        <x:v>LN-006</x:v>
      </x:c>
      <x:c r="C305" s="7" t="str">
        <x:v>LN</x:v>
      </x:c>
      <x:c r="D305" s="7" t="str">
        <x:v>B</x:v>
      </x:c>
      <x:c r="E305" s="8" t="str">
        <x:v>潘家益</x:v>
      </x:c>
      <x:c r="F305" s="10" t="str">
        <x:v>大连市第二十四中学金普学校</x:v>
      </x:c>
      <x:c r="G305" s="12" t="n">
        <x:f>SUM(H305:J305)+K305</x:f>
        <x:v>388</x:v>
      </x:c>
      <x:c r="H305" s="12" t="n">
        <x:v>100</x:v>
      </x:c>
      <x:c r="I305" s="12" t="n">
        <x:v>156</x:v>
      </x:c>
      <x:c r="J305" s="12" t="n">
        <x:v>132</x:v>
      </x:c>
      <x:c r="K305" s="12" t="n">
        <x:f>IF(D305="A",5,0)</x:f>
        <x:v>0</x:v>
      </x:c>
    </x:row>
    <x:row r="306" ht="30" customHeight="1">
      <x:c r="A306" s="11" t="n">
        <x:f>RANK.EQ(G306,$G$2:$G$523,0)</x:f>
        <x:v>305</x:v>
      </x:c>
      <x:c r="B306" s="7" t="str">
        <x:v>CQ-016</x:v>
      </x:c>
      <x:c r="C306" s="7" t="str">
        <x:v>CQ</x:v>
      </x:c>
      <x:c r="D306" s="7" t="str">
        <x:v>B</x:v>
      </x:c>
      <x:c r="E306" s="8" t="str">
        <x:v>曹瑞之</x:v>
      </x:c>
      <x:c r="F306" s="10" t="str">
        <x:v>重庆市育才中学校</x:v>
      </x:c>
      <x:c r="G306" s="12" t="n">
        <x:f>SUM(H306:J306)+K306</x:f>
        <x:v>387</x:v>
      </x:c>
      <x:c r="H306" s="12" t="n">
        <x:v>100</x:v>
      </x:c>
      <x:c r="I306" s="12" t="n">
        <x:v>155</x:v>
      </x:c>
      <x:c r="J306" s="12" t="n">
        <x:v>132</x:v>
      </x:c>
      <x:c r="K306" s="12" t="n">
        <x:f>IF(D306="A",5,0)</x:f>
        <x:v>0</x:v>
      </x:c>
    </x:row>
    <x:row r="307" ht="30" customHeight="1">
      <x:c r="A307" s="11" t="n">
        <x:f>RANK.EQ(G307,$G$2:$G$523,0)</x:f>
        <x:v>305</x:v>
      </x:c>
      <x:c r="B307" s="7" t="str">
        <x:v>SN-008</x:v>
      </x:c>
      <x:c r="C307" s="7" t="str">
        <x:v>SN</x:v>
      </x:c>
      <x:c r="D307" s="7" t="str">
        <x:v>B</x:v>
      </x:c>
      <x:c r="E307" s="8" t="str">
        <x:v>史若瑜</x:v>
      </x:c>
      <x:c r="F307" s="10" t="str">
        <x:v>西安交通大学附属中学空港高级中学</x:v>
      </x:c>
      <x:c r="G307" s="12" t="n">
        <x:f>SUM(H307:J307)+K307</x:f>
        <x:v>387</x:v>
      </x:c>
      <x:c r="H307" s="12" t="n">
        <x:v>100</x:v>
      </x:c>
      <x:c r="I307" s="12" t="n">
        <x:v>177</x:v>
      </x:c>
      <x:c r="J307" s="12" t="n">
        <x:v>110</x:v>
      </x:c>
      <x:c r="K307" s="12" t="n">
        <x:f>IF(D307="A",5,0)</x:f>
        <x:v>0</x:v>
      </x:c>
    </x:row>
    <x:row r="308" ht="30" customHeight="1">
      <x:c r="A308" s="11" t="n">
        <x:f>RANK.EQ(G308,$G$2:$G$523,0)</x:f>
        <x:v>305</x:v>
      </x:c>
      <x:c r="B308" s="7" t="str">
        <x:v>XJ-001</x:v>
      </x:c>
      <x:c r="C308" s="7" t="str">
        <x:v>XJ</x:v>
      </x:c>
      <x:c r="D308" s="7" t="str">
        <x:v>A</x:v>
      </x:c>
      <x:c r="E308" s="8" t="str">
        <x:v>肖浩宇</x:v>
      </x:c>
      <x:c r="F308" s="10" t="str">
        <x:v>第二师华山中学</x:v>
      </x:c>
      <x:c r="G308" s="12" t="n">
        <x:f>SUM(H308:J308)+K308</x:f>
        <x:v>387</x:v>
      </x:c>
      <x:c r="H308" s="12" t="n">
        <x:v>100</x:v>
      </x:c>
      <x:c r="I308" s="12" t="n">
        <x:v>163</x:v>
      </x:c>
      <x:c r="J308" s="12" t="n">
        <x:v>119</x:v>
      </x:c>
      <x:c r="K308" s="12" t="n">
        <x:f>IF(D308="A",5,0)</x:f>
        <x:v>5</x:v>
      </x:c>
    </x:row>
    <x:row r="309" ht="30" customHeight="1">
      <x:c r="A309" s="11" t="n">
        <x:f>RANK.EQ(G309,$G$2:$G$523,0)</x:f>
        <x:v>305</x:v>
      </x:c>
      <x:c r="B309" s="7" t="str">
        <x:v>ZJ-043</x:v>
      </x:c>
      <x:c r="C309" s="7" t="str">
        <x:v>ZJ</x:v>
      </x:c>
      <x:c r="D309" s="7" t="str">
        <x:v>D</x:v>
      </x:c>
      <x:c r="E309" s="8" t="str">
        <x:v>郑睿泽</x:v>
      </x:c>
      <x:c r="F309" s="10" t="str">
        <x:v>宁波市效实中学</x:v>
      </x:c>
      <x:c r="G309" s="12" t="n">
        <x:f>SUM(H309:J309)+K309</x:f>
        <x:v>387</x:v>
      </x:c>
      <x:c r="H309" s="12" t="n">
        <x:v>99</x:v>
      </x:c>
      <x:c r="I309" s="12" t="n">
        <x:v>194</x:v>
      </x:c>
      <x:c r="J309" s="12" t="n">
        <x:v>94</x:v>
      </x:c>
      <x:c r="K309" s="12" t="n">
        <x:f>IF(D309="A",5,0)</x:f>
        <x:v>0</x:v>
      </x:c>
    </x:row>
    <x:row r="310" ht="30" customHeight="1">
      <x:c r="A310" s="11" t="n">
        <x:f>RANK.EQ(G310,$G$2:$G$523,0)</x:f>
        <x:v>309</x:v>
      </x:c>
      <x:c r="B310" s="7" t="str">
        <x:v>BJ-024</x:v>
      </x:c>
      <x:c r="C310" s="7" t="str">
        <x:v>BJ</x:v>
      </x:c>
      <x:c r="D310" s="7" t="str">
        <x:v>D</x:v>
      </x:c>
      <x:c r="E310" s="8" t="str">
        <x:v>季子谦</x:v>
      </x:c>
      <x:c r="F310" s="10" t="str">
        <x:v>北京师范大学附属实验中学</x:v>
      </x:c>
      <x:c r="G310" s="12" t="n">
        <x:f>SUM(H310:J310)+K310</x:f>
        <x:v>386</x:v>
      </x:c>
      <x:c r="H310" s="12" t="n">
        <x:v>100</x:v>
      </x:c>
      <x:c r="I310" s="12" t="n">
        <x:v>196</x:v>
      </x:c>
      <x:c r="J310" s="12" t="n">
        <x:v>90</x:v>
      </x:c>
      <x:c r="K310" s="12" t="n">
        <x:f>IF(D310="A",5,0)</x:f>
        <x:v>0</x:v>
      </x:c>
    </x:row>
    <x:row r="311" ht="30" customHeight="1">
      <x:c r="A311" s="11" t="n">
        <x:f>RANK.EQ(G311,$G$2:$G$523,0)</x:f>
        <x:v>309</x:v>
      </x:c>
      <x:c r="B311" s="7" t="str">
        <x:v>JS-027</x:v>
      </x:c>
      <x:c r="C311" s="7" t="str">
        <x:v>JS</x:v>
      </x:c>
      <x:c r="D311" s="7" t="str">
        <x:v>D</x:v>
      </x:c>
      <x:c r="E311" s="8" t="str">
        <x:v>朱清跃</x:v>
      </x:c>
      <x:c r="F311" s="10" t="str">
        <x:v>南京外国语学校</x:v>
      </x:c>
      <x:c r="G311" s="12" t="n">
        <x:f>SUM(H311:J311)+K311</x:f>
        <x:v>386</x:v>
      </x:c>
      <x:c r="H311" s="12" t="n">
        <x:v>100</x:v>
      </x:c>
      <x:c r="I311" s="12" t="n">
        <x:v>188</x:v>
      </x:c>
      <x:c r="J311" s="12" t="n">
        <x:v>98</x:v>
      </x:c>
      <x:c r="K311" s="12" t="n">
        <x:f>IF(D311="A",5,0)</x:f>
        <x:v>0</x:v>
      </x:c>
    </x:row>
    <x:row r="312" ht="30" customHeight="1">
      <x:c r="A312" s="11" t="n">
        <x:f>RANK.EQ(G312,$G$2:$G$523,0)</x:f>
        <x:v>309</x:v>
      </x:c>
      <x:c r="B312" s="7" t="str">
        <x:v>ZJ-038</x:v>
      </x:c>
      <x:c r="C312" s="7" t="str">
        <x:v>ZJ</x:v>
      </x:c>
      <x:c r="D312" s="7" t="str">
        <x:v>D</x:v>
      </x:c>
      <x:c r="E312" s="8" t="str">
        <x:v>徐子洋</x:v>
      </x:c>
      <x:c r="F312" s="10" t="str">
        <x:v>萧山区文渊实验初级中学</x:v>
      </x:c>
      <x:c r="G312" s="12" t="n">
        <x:f>SUM(H312:J312)+K312</x:f>
        <x:v>386</x:v>
      </x:c>
      <x:c r="H312" s="12" t="n">
        <x:v>100</x:v>
      </x:c>
      <x:c r="I312" s="12" t="n">
        <x:v>166</x:v>
      </x:c>
      <x:c r="J312" s="12" t="n">
        <x:v>120</x:v>
      </x:c>
      <x:c r="K312" s="12" t="n">
        <x:f>IF(D312="A",5,0)</x:f>
        <x:v>0</x:v>
      </x:c>
    </x:row>
    <x:row r="313" ht="30" customHeight="1">
      <x:c r="A313" s="11" t="n">
        <x:f>RANK.EQ(G313,$G$2:$G$523,0)</x:f>
        <x:v>312</x:v>
      </x:c>
      <x:c r="B313" s="7" t="str">
        <x:v>BJ-032</x:v>
      </x:c>
      <x:c r="C313" s="7" t="str">
        <x:v>BJ</x:v>
      </x:c>
      <x:c r="D313" s="7" t="str">
        <x:v>D</x:v>
      </x:c>
      <x:c r="E313" s="8" t="str">
        <x:v>何天成</x:v>
      </x:c>
      <x:c r="F313" s="10" t="str">
        <x:v>北京中学</x:v>
      </x:c>
      <x:c r="G313" s="12" t="n">
        <x:f>SUM(H313:J313)+K313</x:f>
        <x:v>385</x:v>
      </x:c>
      <x:c r="H313" s="12" t="n">
        <x:v>100</x:v>
      </x:c>
      <x:c r="I313" s="12" t="n">
        <x:v>165</x:v>
      </x:c>
      <x:c r="J313" s="12" t="n">
        <x:v>120</x:v>
      </x:c>
      <x:c r="K313" s="12" t="n">
        <x:f>IF(D313="A",5,0)</x:f>
        <x:v>0</x:v>
      </x:c>
    </x:row>
    <x:row r="314" ht="30" customHeight="1">
      <x:c r="A314" s="11" t="n">
        <x:f>RANK.EQ(G314,$G$2:$G$523,0)</x:f>
        <x:v>313</x:v>
      </x:c>
      <x:c r="B314" s="7" t="str">
        <x:v>HA-009</x:v>
      </x:c>
      <x:c r="C314" s="7" t="str">
        <x:v>HA</x:v>
      </x:c>
      <x:c r="D314" s="7" t="str">
        <x:v>B</x:v>
      </x:c>
      <x:c r="E314" s="8" t="str">
        <x:v>申昊文</x:v>
      </x:c>
      <x:c r="F314" s="10" t="str">
        <x:v>郑州外国语新枫杨学校</x:v>
      </x:c>
      <x:c r="G314" s="12" t="n">
        <x:f>SUM(H314:J314)+K314</x:f>
        <x:v>384</x:v>
      </x:c>
      <x:c r="H314" s="12" t="n">
        <x:v>100</x:v>
      </x:c>
      <x:c r="I314" s="12" t="n">
        <x:v>164</x:v>
      </x:c>
      <x:c r="J314" s="12" t="n">
        <x:v>120</x:v>
      </x:c>
      <x:c r="K314" s="12" t="n">
        <x:f>IF(D314="A",5,0)</x:f>
        <x:v>0</x:v>
      </x:c>
    </x:row>
    <x:row r="315" ht="30" customHeight="1">
      <x:c r="A315" s="11" t="n">
        <x:f>RANK.EQ(G315,$G$2:$G$523,0)</x:f>
        <x:v>313</x:v>
      </x:c>
      <x:c r="B315" s="7" t="str">
        <x:v>LN-008</x:v>
      </x:c>
      <x:c r="C315" s="7" t="str">
        <x:v>LN</x:v>
      </x:c>
      <x:c r="D315" s="7" t="str">
        <x:v>E</x:v>
      </x:c>
      <x:c r="E315" s="8" t="str">
        <x:v>李知轩</x:v>
      </x:c>
      <x:c r="F315" s="10" t="str">
        <x:v>本溪市实验中学</x:v>
      </x:c>
      <x:c r="G315" s="12" t="n">
        <x:f>SUM(H315:J315)+K315</x:f>
        <x:v>384</x:v>
      </x:c>
      <x:c r="H315" s="12" t="n">
        <x:v>100</x:v>
      </x:c>
      <x:c r="I315" s="12" t="n">
        <x:v>164</x:v>
      </x:c>
      <x:c r="J315" s="12" t="n">
        <x:v>120</x:v>
      </x:c>
      <x:c r="K315" s="12" t="n">
        <x:f>IF(D315="A",5,0)</x:f>
        <x:v>0</x:v>
      </x:c>
    </x:row>
    <x:row r="316" ht="30" customHeight="1">
      <x:c r="A316" s="11" t="n">
        <x:f>RANK.EQ(G316,$G$2:$G$523,0)</x:f>
        <x:v>313</x:v>
      </x:c>
      <x:c r="B316" s="7" t="str">
        <x:v>SC-012</x:v>
      </x:c>
      <x:c r="C316" s="7" t="str">
        <x:v>SC</x:v>
      </x:c>
      <x:c r="D316" s="7" t="str">
        <x:v>B</x:v>
      </x:c>
      <x:c r="E316" s="8" t="str">
        <x:v>吴皓天</x:v>
      </x:c>
      <x:c r="F316" s="10" t="str">
        <x:v>四川省绵阳中学</x:v>
      </x:c>
      <x:c r="G316" s="12" t="n">
        <x:f>SUM(H316:J316)+K316</x:f>
        <x:v>384</x:v>
      </x:c>
      <x:c r="H316" s="12" t="n">
        <x:v>100</x:v>
      </x:c>
      <x:c r="I316" s="12" t="n">
        <x:v>173</x:v>
      </x:c>
      <x:c r="J316" s="12" t="n">
        <x:v>111</x:v>
      </x:c>
      <x:c r="K316" s="12" t="n">
        <x:f>IF(D316="A",5,0)</x:f>
        <x:v>0</x:v>
      </x:c>
    </x:row>
    <x:row r="317" ht="30" customHeight="1">
      <x:c r="A317" s="11" t="n">
        <x:f>RANK.EQ(G317,$G$2:$G$523,0)</x:f>
        <x:v>313</x:v>
      </x:c>
      <x:c r="B317" s="7" t="str">
        <x:v>SC-021</x:v>
      </x:c>
      <x:c r="C317" s="7" t="str">
        <x:v>SC</x:v>
      </x:c>
      <x:c r="D317" s="7" t="str">
        <x:v>D</x:v>
      </x:c>
      <x:c r="E317" s="8" t="str">
        <x:v>钱雨恩</x:v>
      </x:c>
      <x:c r="F317" s="10" t="str">
        <x:v>四川省成都市石室联合中学</x:v>
      </x:c>
      <x:c r="G317" s="12" t="n">
        <x:f>SUM(H317:J317)+K317</x:f>
        <x:v>384</x:v>
      </x:c>
      <x:c r="H317" s="12" t="n">
        <x:v>100</x:v>
      </x:c>
      <x:c r="I317" s="12" t="n">
        <x:v>186</x:v>
      </x:c>
      <x:c r="J317" s="12" t="n">
        <x:v>98</x:v>
      </x:c>
      <x:c r="K317" s="12" t="n">
        <x:f>IF(D317="A",5,0)</x:f>
        <x:v>0</x:v>
      </x:c>
    </x:row>
    <x:row r="318" ht="30" customHeight="1">
      <x:c r="A318" s="11" t="n">
        <x:f>RANK.EQ(G318,$G$2:$G$523,0)</x:f>
        <x:v>313</x:v>
      </x:c>
      <x:c r="B318" s="7" t="str">
        <x:v>SD-015</x:v>
      </x:c>
      <x:c r="C318" s="7" t="str">
        <x:v>SD</x:v>
      </x:c>
      <x:c r="D318" s="7" t="str">
        <x:v>B</x:v>
      </x:c>
      <x:c r="E318" s="8" t="str">
        <x:v>刘洪鑫</x:v>
      </x:c>
      <x:c r="F318" s="10" t="str">
        <x:v>山东省烟台第二中学</x:v>
      </x:c>
      <x:c r="G318" s="12" t="n">
        <x:f>SUM(H318:J318)+K318</x:f>
        <x:v>384</x:v>
      </x:c>
      <x:c r="H318" s="12" t="n">
        <x:v>100</x:v>
      </x:c>
      <x:c r="I318" s="12" t="n">
        <x:v>152</x:v>
      </x:c>
      <x:c r="J318" s="12" t="n">
        <x:v>132</x:v>
      </x:c>
      <x:c r="K318" s="12" t="n">
        <x:f>IF(D318="A",5,0)</x:f>
        <x:v>0</x:v>
      </x:c>
    </x:row>
    <x:row r="319" ht="30" customHeight="1">
      <x:c r="A319" s="11" t="n">
        <x:f>RANK.EQ(G319,$G$2:$G$523,0)</x:f>
        <x:v>318</x:v>
      </x:c>
      <x:c r="B319" s="7" t="str">
        <x:v>HE-008</x:v>
      </x:c>
      <x:c r="C319" s="7" t="str">
        <x:v>HE</x:v>
      </x:c>
      <x:c r="D319" s="7" t="str">
        <x:v>B</x:v>
      </x:c>
      <x:c r="E319" s="8" t="str">
        <x:v>金子植</x:v>
      </x:c>
      <x:c r="F319" s="10" t="str">
        <x:v>沧州市第一中学</x:v>
      </x:c>
      <x:c r="G319" s="12" t="n">
        <x:f>SUM(H319:J319)+K319</x:f>
        <x:v>383</x:v>
      </x:c>
      <x:c r="H319" s="12" t="n">
        <x:v>100</x:v>
      </x:c>
      <x:c r="I319" s="12" t="n">
        <x:v>163</x:v>
      </x:c>
      <x:c r="J319" s="12" t="n">
        <x:v>120</x:v>
      </x:c>
      <x:c r="K319" s="12" t="n">
        <x:f>IF(D319="A",5,0)</x:f>
        <x:v>0</x:v>
      </x:c>
    </x:row>
    <x:row r="320" ht="30" customHeight="1">
      <x:c r="A320" s="11" t="n">
        <x:f>RANK.EQ(G320,$G$2:$G$523,0)</x:f>
        <x:v>319</x:v>
      </x:c>
      <x:c r="B320" s="7" t="str">
        <x:v>FJ-020</x:v>
      </x:c>
      <x:c r="C320" s="7" t="str">
        <x:v>FJ</x:v>
      </x:c>
      <x:c r="D320" s="7" t="str">
        <x:v>D</x:v>
      </x:c>
      <x:c r="E320" s="8" t="str">
        <x:v>谢仁皓</x:v>
      </x:c>
      <x:c r="F320" s="10" t="str">
        <x:v>厦门市华侨中学</x:v>
      </x:c>
      <x:c r="G320" s="12" t="n">
        <x:f>SUM(H320:J320)+K320</x:f>
        <x:v>382</x:v>
      </x:c>
      <x:c r="H320" s="12" t="n">
        <x:v>100</x:v>
      </x:c>
      <x:c r="I320" s="12" t="n">
        <x:v>146</x:v>
      </x:c>
      <x:c r="J320" s="12" t="n">
        <x:v>136</x:v>
      </x:c>
      <x:c r="K320" s="12" t="n">
        <x:f>IF(D320="A",5,0)</x:f>
        <x:v>0</x:v>
      </x:c>
    </x:row>
    <x:row r="321" ht="30" customHeight="1">
      <x:c r="A321" s="11" t="n">
        <x:f>RANK.EQ(G321,$G$2:$G$523,0)</x:f>
        <x:v>319</x:v>
      </x:c>
      <x:c r="B321" s="7" t="str">
        <x:v>FJ-028</x:v>
      </x:c>
      <x:c r="C321" s="7" t="str">
        <x:v>FJ</x:v>
      </x:c>
      <x:c r="D321" s="7" t="str">
        <x:v>E</x:v>
      </x:c>
      <x:c r="E321" s="8" t="str">
        <x:v>郭朗赫</x:v>
      </x:c>
      <x:c r="F321" s="10" t="str">
        <x:v>泉州市第九中学</x:v>
      </x:c>
      <x:c r="G321" s="12" t="n">
        <x:f>SUM(H321:J321)+K321</x:f>
        <x:v>382</x:v>
      </x:c>
      <x:c r="H321" s="12" t="n">
        <x:v>100</x:v>
      </x:c>
      <x:c r="I321" s="12" t="n">
        <x:v>176</x:v>
      </x:c>
      <x:c r="J321" s="12" t="n">
        <x:v>106</x:v>
      </x:c>
      <x:c r="K321" s="12" t="n">
        <x:f>IF(D321="A",5,0)</x:f>
        <x:v>0</x:v>
      </x:c>
    </x:row>
    <x:row r="322" ht="30" customHeight="1">
      <x:c r="A322" s="11" t="n">
        <x:f>RANK.EQ(G322,$G$2:$G$523,0)</x:f>
        <x:v>319</x:v>
      </x:c>
      <x:c r="B322" s="7" t="str">
        <x:v>LN-007</x:v>
      </x:c>
      <x:c r="C322" s="7" t="str">
        <x:v>LN</x:v>
      </x:c>
      <x:c r="D322" s="7" t="str">
        <x:v>B</x:v>
      </x:c>
      <x:c r="E322" s="8" t="str">
        <x:v>罗金阳</x:v>
      </x:c>
      <x:c r="F322" s="10" t="str">
        <x:v>本溪市高级中学</x:v>
      </x:c>
      <x:c r="G322" s="12" t="n">
        <x:f>SUM(H322:J322)+K322</x:f>
        <x:v>382</x:v>
      </x:c>
      <x:c r="H322" s="12" t="n">
        <x:v>100</x:v>
      </x:c>
      <x:c r="I322" s="12" t="n">
        <x:v>174</x:v>
      </x:c>
      <x:c r="J322" s="12" t="n">
        <x:v>108</x:v>
      </x:c>
      <x:c r="K322" s="12" t="n">
        <x:f>IF(D322="A",5,0)</x:f>
        <x:v>0</x:v>
      </x:c>
    </x:row>
    <x:row r="323" ht="30" customHeight="1">
      <x:c r="A323" s="11" t="n">
        <x:f>RANK.EQ(G323,$G$2:$G$523,0)</x:f>
        <x:v>319</x:v>
      </x:c>
      <x:c r="B323" s="7" t="str">
        <x:v>SD-010</x:v>
      </x:c>
      <x:c r="C323" s="7" t="str">
        <x:v>SD</x:v>
      </x:c>
      <x:c r="D323" s="7" t="str">
        <x:v>B</x:v>
      </x:c>
      <x:c r="E323" s="8" t="str">
        <x:v>郭炜丰</x:v>
      </x:c>
      <x:c r="F323" s="10" t="str">
        <x:v>山东省潍坊第一中学</x:v>
      </x:c>
      <x:c r="G323" s="12" t="n">
        <x:f>SUM(H323:J323)+K323</x:f>
        <x:v>382</x:v>
      </x:c>
      <x:c r="H323" s="12" t="n">
        <x:v>100</x:v>
      </x:c>
      <x:c r="I323" s="12" t="n">
        <x:v>159</x:v>
      </x:c>
      <x:c r="J323" s="12" t="n">
        <x:v>123</x:v>
      </x:c>
      <x:c r="K323" s="12" t="n">
        <x:f>IF(D323="A",5,0)</x:f>
        <x:v>0</x:v>
      </x:c>
    </x:row>
    <x:row r="324" ht="30" customHeight="1">
      <x:c r="A324" s="11" t="n">
        <x:f>RANK.EQ(G324,$G$2:$G$523,0)</x:f>
        <x:v>323</x:v>
      </x:c>
      <x:c r="B324" s="7" t="str">
        <x:v>CQ-015</x:v>
      </x:c>
      <x:c r="C324" s="7" t="str">
        <x:v>CQ</x:v>
      </x:c>
      <x:c r="D324" s="7" t="str">
        <x:v>B</x:v>
      </x:c>
      <x:c r="E324" s="8" t="str">
        <x:v>何宛轩</x:v>
      </x:c>
      <x:c r="F324" s="10" t="str">
        <x:v>重庆市巴蜀中学校</x:v>
      </x:c>
      <x:c r="G324" s="12" t="n">
        <x:f>SUM(H324:J324)+K324</x:f>
        <x:v>381</x:v>
      </x:c>
      <x:c r="H324" s="12" t="n">
        <x:v>100</x:v>
      </x:c>
      <x:c r="I324" s="12" t="n">
        <x:v>161</x:v>
      </x:c>
      <x:c r="J324" s="12" t="n">
        <x:v>120</x:v>
      </x:c>
      <x:c r="K324" s="12" t="n">
        <x:f>IF(D324="A",5,0)</x:f>
        <x:v>0</x:v>
      </x:c>
    </x:row>
    <x:row r="325" ht="30" customHeight="1">
      <x:c r="A325" s="11" t="n">
        <x:f>RANK.EQ(G325,$G$2:$G$523,0)</x:f>
        <x:v>323</x:v>
      </x:c>
      <x:c r="B325" s="7" t="str">
        <x:v>GD-013</x:v>
      </x:c>
      <x:c r="C325" s="7" t="str">
        <x:v>GD</x:v>
      </x:c>
      <x:c r="D325" s="7" t="str">
        <x:v>B</x:v>
      </x:c>
      <x:c r="E325" s="8" t="str">
        <x:v>周祎</x:v>
      </x:c>
      <x:c r="F325" s="10" t="str">
        <x:v>中山市中山纪念中学</x:v>
      </x:c>
      <x:c r="G325" s="12" t="n">
        <x:f>SUM(H325:J325)+K325</x:f>
        <x:v>381</x:v>
      </x:c>
      <x:c r="H325" s="12" t="n">
        <x:v>100</x:v>
      </x:c>
      <x:c r="I325" s="12" t="n">
        <x:v>158</x:v>
      </x:c>
      <x:c r="J325" s="12" t="n">
        <x:v>123</x:v>
      </x:c>
      <x:c r="K325" s="12" t="n">
        <x:f>IF(D325="A",5,0)</x:f>
        <x:v>0</x:v>
      </x:c>
    </x:row>
    <x:row r="326" ht="30" customHeight="1">
      <x:c r="A326" s="11" t="n">
        <x:f>RANK.EQ(G326,$G$2:$G$523,0)</x:f>
        <x:v>323</x:v>
      </x:c>
      <x:c r="B326" s="7" t="str">
        <x:v>JS-022</x:v>
      </x:c>
      <x:c r="C326" s="7" t="str">
        <x:v>JS</x:v>
      </x:c>
      <x:c r="D326" s="7" t="str">
        <x:v>D</x:v>
      </x:c>
      <x:c r="E326" s="8" t="str">
        <x:v>余忱恂</x:v>
      </x:c>
      <x:c r="F326" s="10" t="str">
        <x:v>江苏省苏州中学校</x:v>
      </x:c>
      <x:c r="G326" s="12" t="n">
        <x:f>SUM(H326:J326)+K326</x:f>
        <x:v>381</x:v>
      </x:c>
      <x:c r="H326" s="12" t="n">
        <x:v>99</x:v>
      </x:c>
      <x:c r="I326" s="12" t="n">
        <x:v>158</x:v>
      </x:c>
      <x:c r="J326" s="12" t="n">
        <x:v>124</x:v>
      </x:c>
      <x:c r="K326" s="12" t="n">
        <x:f>IF(D326="A",5,0)</x:f>
        <x:v>0</x:v>
      </x:c>
    </x:row>
    <x:row r="327" ht="30" customHeight="1">
      <x:c r="A327" s="11" t="n">
        <x:f>RANK.EQ(G327,$G$2:$G$523,0)</x:f>
        <x:v>326</x:v>
      </x:c>
      <x:c r="B327" s="7" t="str">
        <x:v>CQ-009</x:v>
      </x:c>
      <x:c r="C327" s="7" t="str">
        <x:v>CQ</x:v>
      </x:c>
      <x:c r="D327" s="7" t="str">
        <x:v>B</x:v>
      </x:c>
      <x:c r="E327" s="8" t="str">
        <x:v>张齐松</x:v>
      </x:c>
      <x:c r="F327" s="10" t="str">
        <x:v>重庆市南开中学校</x:v>
      </x:c>
      <x:c r="G327" s="12" t="n">
        <x:f>SUM(H327:J327)+K327</x:f>
        <x:v>380</x:v>
      </x:c>
      <x:c r="H327" s="12" t="n">
        <x:v>99</x:v>
      </x:c>
      <x:c r="I327" s="12" t="n">
        <x:v>151</x:v>
      </x:c>
      <x:c r="J327" s="12" t="n">
        <x:v>130</x:v>
      </x:c>
      <x:c r="K327" s="12" t="n">
        <x:f>IF(D327="A",5,0)</x:f>
        <x:v>0</x:v>
      </x:c>
    </x:row>
    <x:row r="328" ht="30" customHeight="1">
      <x:c r="A328" s="11" t="n">
        <x:f>RANK.EQ(G328,$G$2:$G$523,0)</x:f>
        <x:v>326</x:v>
      </x:c>
      <x:c r="B328" s="7" t="str">
        <x:v>CQ-012</x:v>
      </x:c>
      <x:c r="C328" s="7" t="str">
        <x:v>CQ</x:v>
      </x:c>
      <x:c r="D328" s="7" t="str">
        <x:v>B</x:v>
      </x:c>
      <x:c r="E328" s="8" t="str">
        <x:v>陶治霖</x:v>
      </x:c>
      <x:c r="F328" s="10" t="str">
        <x:v>重庆市第八中学校</x:v>
      </x:c>
      <x:c r="G328" s="12" t="n">
        <x:f>SUM(H328:J328)+K328</x:f>
        <x:v>380</x:v>
      </x:c>
      <x:c r="H328" s="12" t="n">
        <x:v>100</x:v>
      </x:c>
      <x:c r="I328" s="12" t="n">
        <x:v>145</x:v>
      </x:c>
      <x:c r="J328" s="12" t="n">
        <x:v>135</x:v>
      </x:c>
      <x:c r="K328" s="12" t="n">
        <x:f>IF(D328="A",5,0)</x:f>
        <x:v>0</x:v>
      </x:c>
    </x:row>
    <x:row r="329" ht="30" customHeight="1">
      <x:c r="A329" s="11" t="n">
        <x:f>RANK.EQ(G329,$G$2:$G$523,0)</x:f>
        <x:v>326</x:v>
      </x:c>
      <x:c r="B329" s="7" t="str">
        <x:v>SD-040</x:v>
      </x:c>
      <x:c r="C329" s="7" t="str">
        <x:v>SD</x:v>
      </x:c>
      <x:c r="D329" s="7" t="str">
        <x:v>D</x:v>
      </x:c>
      <x:c r="E329" s="8" t="str">
        <x:v>曾庆怀</x:v>
      </x:c>
      <x:c r="F329" s="10" t="str">
        <x:v>淄博实验中学</x:v>
      </x:c>
      <x:c r="G329" s="12" t="n">
        <x:f>SUM(H329:J329)+K329</x:f>
        <x:v>380</x:v>
      </x:c>
      <x:c r="H329" s="12" t="n">
        <x:v>100</x:v>
      </x:c>
      <x:c r="I329" s="12" t="n">
        <x:v>160</x:v>
      </x:c>
      <x:c r="J329" s="12" t="n">
        <x:v>120</x:v>
      </x:c>
      <x:c r="K329" s="12" t="n">
        <x:f>IF(D329="A",5,0)</x:f>
        <x:v>0</x:v>
      </x:c>
    </x:row>
    <x:row r="330" ht="30" customHeight="1">
      <x:c r="A330" s="11" t="n">
        <x:f>RANK.EQ(G330,$G$2:$G$523,0)</x:f>
        <x:v>326</x:v>
      </x:c>
      <x:c r="B330" s="7" t="str">
        <x:v>SN-015</x:v>
      </x:c>
      <x:c r="C330" s="7" t="str">
        <x:v>SN</x:v>
      </x:c>
      <x:c r="D330" s="7" t="str">
        <x:v>D</x:v>
      </x:c>
      <x:c r="E330" s="8" t="str">
        <x:v>房子煊</x:v>
      </x:c>
      <x:c r="F330" s="10" t="str">
        <x:v>西安铁一中国际合作学校</x:v>
      </x:c>
      <x:c r="G330" s="12" t="n">
        <x:f>SUM(H330:J330)+K330</x:f>
        <x:v>380</x:v>
      </x:c>
      <x:c r="H330" s="12" t="n">
        <x:v>100</x:v>
      </x:c>
      <x:c r="I330" s="12" t="n">
        <x:v>160</x:v>
      </x:c>
      <x:c r="J330" s="12" t="n">
        <x:v>120</x:v>
      </x:c>
      <x:c r="K330" s="12" t="n">
        <x:f>IF(D330="A",5,0)</x:f>
        <x:v>0</x:v>
      </x:c>
    </x:row>
    <x:row r="331" ht="30" customHeight="1">
      <x:c r="A331" s="11" t="n">
        <x:f>RANK.EQ(G331,$G$2:$G$523,0)</x:f>
        <x:v>326</x:v>
      </x:c>
      <x:c r="B331" s="7" t="str">
        <x:v>ZJ-019</x:v>
      </x:c>
      <x:c r="C331" s="7" t="str">
        <x:v>ZJ</x:v>
      </x:c>
      <x:c r="D331" s="7" t="str">
        <x:v>B</x:v>
      </x:c>
      <x:c r="E331" s="8" t="str">
        <x:v>黄晨熠</x:v>
      </x:c>
      <x:c r="F331" s="10" t="str">
        <x:v>绍兴市第一中学</x:v>
      </x:c>
      <x:c r="G331" s="12" t="n">
        <x:f>SUM(H331:J331)+K331</x:f>
        <x:v>380</x:v>
      </x:c>
      <x:c r="H331" s="12" t="n">
        <x:v>100</x:v>
      </x:c>
      <x:c r="I331" s="12" t="n">
        <x:v>156</x:v>
      </x:c>
      <x:c r="J331" s="12" t="n">
        <x:v>124</x:v>
      </x:c>
      <x:c r="K331" s="12" t="n">
        <x:f>IF(D331="A",5,0)</x:f>
        <x:v>0</x:v>
      </x:c>
    </x:row>
    <x:row r="332" ht="30" customHeight="1">
      <x:c r="A332" s="11" t="n">
        <x:f>RANK.EQ(G332,$G$2:$G$523,0)</x:f>
        <x:v>331</x:v>
      </x:c>
      <x:c r="B332" s="7" t="str">
        <x:v>FJ-023</x:v>
      </x:c>
      <x:c r="C332" s="7" t="str">
        <x:v>FJ</x:v>
      </x:c>
      <x:c r="D332" s="7" t="str">
        <x:v>D</x:v>
      </x:c>
      <x:c r="E332" s="8" t="str">
        <x:v>林志宸</x:v>
      </x:c>
      <x:c r="F332" s="10" t="str">
        <x:v>厦门市莲花中学</x:v>
      </x:c>
      <x:c r="G332" s="12" t="n">
        <x:f>SUM(H332:J332)+K332</x:f>
        <x:v>379</x:v>
      </x:c>
      <x:c r="H332" s="12" t="n">
        <x:v>99</x:v>
      </x:c>
      <x:c r="I332" s="12" t="n">
        <x:v>182</x:v>
      </x:c>
      <x:c r="J332" s="12" t="n">
        <x:v>98</x:v>
      </x:c>
      <x:c r="K332" s="12" t="n">
        <x:f>IF(D332="A",5,0)</x:f>
        <x:v>0</x:v>
      </x:c>
    </x:row>
    <x:row r="333" ht="30" customHeight="1">
      <x:c r="A333" s="11" t="n">
        <x:f>RANK.EQ(G333,$G$2:$G$523,0)</x:f>
        <x:v>331</x:v>
      </x:c>
      <x:c r="B333" s="7" t="str">
        <x:v>HL-003</x:v>
      </x:c>
      <x:c r="C333" s="7" t="str">
        <x:v>HL</x:v>
      </x:c>
      <x:c r="D333" s="7" t="str">
        <x:v>A</x:v>
      </x:c>
      <x:c r="E333" s="8" t="str">
        <x:v>刘明轩</x:v>
      </x:c>
      <x:c r="F333" s="10" t="str">
        <x:v>大庆实验中学</x:v>
      </x:c>
      <x:c r="G333" s="12" t="n">
        <x:f>SUM(H333:J333)+K333</x:f>
        <x:v>379</x:v>
      </x:c>
      <x:c r="H333" s="12" t="n">
        <x:v>100</x:v>
      </x:c>
      <x:c r="I333" s="12" t="n">
        <x:v>168</x:v>
      </x:c>
      <x:c r="J333" s="12" t="n">
        <x:v>106</x:v>
      </x:c>
      <x:c r="K333" s="12" t="n">
        <x:f>IF(D333="A",5,0)</x:f>
        <x:v>5</x:v>
      </x:c>
    </x:row>
    <x:row r="334" ht="30" customHeight="1">
      <x:c r="A334" s="11" t="n">
        <x:f>RANK.EQ(G334,$G$2:$G$523,0)</x:f>
        <x:v>333</x:v>
      </x:c>
      <x:c r="B334" s="7" t="str">
        <x:v>JX-007</x:v>
      </x:c>
      <x:c r="C334" s="7" t="str">
        <x:v>JX</x:v>
      </x:c>
      <x:c r="D334" s="7" t="str">
        <x:v>B</x:v>
      </x:c>
      <x:c r="E334" s="8" t="str">
        <x:v>赖润泽</x:v>
      </x:c>
      <x:c r="F334" s="10" t="str">
        <x:v>赣州中学</x:v>
      </x:c>
      <x:c r="G334" s="12" t="n">
        <x:f>SUM(H334:J334)+K334</x:f>
        <x:v>378</x:v>
      </x:c>
      <x:c r="H334" s="12" t="n">
        <x:v>99</x:v>
      </x:c>
      <x:c r="I334" s="12" t="n">
        <x:v>151</x:v>
      </x:c>
      <x:c r="J334" s="12" t="n">
        <x:v>128</x:v>
      </x:c>
      <x:c r="K334" s="12" t="n">
        <x:f>IF(D334="A",5,0)</x:f>
        <x:v>0</x:v>
      </x:c>
    </x:row>
    <x:row r="335" ht="30" customHeight="1">
      <x:c r="A335" s="11" t="n">
        <x:f>RANK.EQ(G335,$G$2:$G$523,0)</x:f>
        <x:v>333</x:v>
      </x:c>
      <x:c r="B335" s="7" t="str">
        <x:v>SD-041</x:v>
      </x:c>
      <x:c r="C335" s="7" t="str">
        <x:v>SD</x:v>
      </x:c>
      <x:c r="D335" s="7" t="str">
        <x:v>E</x:v>
      </x:c>
      <x:c r="E335" s="8" t="str">
        <x:v>刘昊林</x:v>
      </x:c>
      <x:c r="F335" s="10" t="str">
        <x:v>潍坊北辰中学</x:v>
      </x:c>
      <x:c r="G335" s="12" t="n">
        <x:f>SUM(H335:J335)+K335</x:f>
        <x:v>378</x:v>
      </x:c>
      <x:c r="H335" s="12" t="n">
        <x:v>100</x:v>
      </x:c>
      <x:c r="I335" s="12" t="n">
        <x:v>176</x:v>
      </x:c>
      <x:c r="J335" s="12" t="n">
        <x:v>102</x:v>
      </x:c>
      <x:c r="K335" s="12" t="n">
        <x:f>IF(D335="A",5,0)</x:f>
        <x:v>0</x:v>
      </x:c>
    </x:row>
    <x:row r="336" ht="30" customHeight="1">
      <x:c r="A336" s="11" t="n">
        <x:f>RANK.EQ(G336,$G$2:$G$523,0)</x:f>
        <x:v>335</x:v>
      </x:c>
      <x:c r="B336" s="7" t="str">
        <x:v>SN-004</x:v>
      </x:c>
      <x:c r="C336" s="7" t="str">
        <x:v>SN</x:v>
      </x:c>
      <x:c r="D336" s="7" t="str">
        <x:v>A</x:v>
      </x:c>
      <x:c r="E336" s="8" t="str">
        <x:v>李东宸</x:v>
      </x:c>
      <x:c r="F336" s="10" t="str">
        <x:v>西安市铁一中学</x:v>
      </x:c>
      <x:c r="G336" s="12" t="n">
        <x:f>SUM(H336:J336)+K336</x:f>
        <x:v>375</x:v>
      </x:c>
      <x:c r="H336" s="12" t="n">
        <x:v>100</x:v>
      </x:c>
      <x:c r="I336" s="12" t="n">
        <x:v>176</x:v>
      </x:c>
      <x:c r="J336" s="12" t="n">
        <x:v>94</x:v>
      </x:c>
      <x:c r="K336" s="12" t="n">
        <x:f>IF(D336="A",5,0)</x:f>
        <x:v>5</x:v>
      </x:c>
    </x:row>
    <x:row r="337" ht="30" customHeight="1">
      <x:c r="A337" s="11" t="n">
        <x:f>RANK.EQ(G337,$G$2:$G$523,0)</x:f>
        <x:v>335</x:v>
      </x:c>
      <x:c r="B337" s="7" t="str">
        <x:v>XJ-002</x:v>
      </x:c>
      <x:c r="C337" s="7" t="str">
        <x:v>XJ</x:v>
      </x:c>
      <x:c r="D337" s="7" t="str">
        <x:v>A</x:v>
      </x:c>
      <x:c r="E337" s="8" t="str">
        <x:v>蒋乐陶</x:v>
      </x:c>
      <x:c r="F337" s="10" t="str">
        <x:v>乌鲁木齐市第一中学（绿谷校区高中部）</x:v>
      </x:c>
      <x:c r="G337" s="12" t="n">
        <x:f>SUM(H337:J337)+K337</x:f>
        <x:v>375</x:v>
      </x:c>
      <x:c r="H337" s="12" t="n">
        <x:v>100</x:v>
      </x:c>
      <x:c r="I337" s="12" t="n">
        <x:v>150</x:v>
      </x:c>
      <x:c r="J337" s="12" t="n">
        <x:v>120</x:v>
      </x:c>
      <x:c r="K337" s="12" t="n">
        <x:f>IF(D337="A",5,0)</x:f>
        <x:v>5</x:v>
      </x:c>
    </x:row>
    <x:row r="338" ht="30" customHeight="1">
      <x:c r="A338" s="11" t="n">
        <x:f>RANK.EQ(G338,$G$2:$G$523,0)</x:f>
        <x:v>337</x:v>
      </x:c>
      <x:c r="B338" s="7" t="str">
        <x:v>GD-033</x:v>
      </x:c>
      <x:c r="C338" s="7" t="str">
        <x:v>GD</x:v>
      </x:c>
      <x:c r="D338" s="7" t="str">
        <x:v>D</x:v>
      </x:c>
      <x:c r="E338" s="8" t="str">
        <x:v>李钧</x:v>
      </x:c>
      <x:c r="F338" s="10" t="str">
        <x:v>广州大学附属中学</x:v>
      </x:c>
      <x:c r="G338" s="12" t="n">
        <x:f>SUM(H338:J338)+K338</x:f>
        <x:v>374</x:v>
      </x:c>
      <x:c r="H338" s="12" t="n">
        <x:v>100</x:v>
      </x:c>
      <x:c r="I338" s="12" t="n">
        <x:v>164</x:v>
      </x:c>
      <x:c r="J338" s="12" t="n">
        <x:v>110</x:v>
      </x:c>
      <x:c r="K338" s="12" t="n">
        <x:f>IF(D338="A",5,0)</x:f>
        <x:v>0</x:v>
      </x:c>
    </x:row>
    <x:row r="339" ht="30" customHeight="1">
      <x:c r="A339" s="11" t="n">
        <x:f>RANK.EQ(G339,$G$2:$G$523,0)</x:f>
        <x:v>337</x:v>
      </x:c>
      <x:c r="B339" s="7" t="str">
        <x:v>GX-006</x:v>
      </x:c>
      <x:c r="C339" s="7" t="str">
        <x:v>GX</x:v>
      </x:c>
      <x:c r="D339" s="7" t="str">
        <x:v>B</x:v>
      </x:c>
      <x:c r="E339" s="8" t="str">
        <x:v>汪恒毅</x:v>
      </x:c>
      <x:c r="F339" s="10" t="str">
        <x:v>南宁市第二中学</x:v>
      </x:c>
      <x:c r="G339" s="12" t="n">
        <x:f>SUM(H339:J339)+K339</x:f>
        <x:v>374</x:v>
      </x:c>
      <x:c r="H339" s="12" t="n">
        <x:v>100</x:v>
      </x:c>
      <x:c r="I339" s="12" t="n">
        <x:v>156</x:v>
      </x:c>
      <x:c r="J339" s="12" t="n">
        <x:v>118</x:v>
      </x:c>
      <x:c r="K339" s="12" t="n">
        <x:f>IF(D339="A",5,0)</x:f>
        <x:v>0</x:v>
      </x:c>
    </x:row>
    <x:row r="340" ht="30" customHeight="1">
      <x:c r="A340" s="11" t="n">
        <x:f>RANK.EQ(G340,$G$2:$G$523,0)</x:f>
        <x:v>339</x:v>
      </x:c>
      <x:c r="B340" s="7" t="str">
        <x:v>HE-007</x:v>
      </x:c>
      <x:c r="C340" s="7" t="str">
        <x:v>HE</x:v>
      </x:c>
      <x:c r="D340" s="7" t="str">
        <x:v>B</x:v>
      </x:c>
      <x:c r="E340" s="8" t="str">
        <x:v>王浩宇</x:v>
      </x:c>
      <x:c r="F340" s="10" t="str">
        <x:v>石家庄市第二中学</x:v>
      </x:c>
      <x:c r="G340" s="12" t="n">
        <x:f>SUM(H340:J340)+K340</x:f>
        <x:v>373</x:v>
      </x:c>
      <x:c r="H340" s="12" t="n">
        <x:v>100</x:v>
      </x:c>
      <x:c r="I340" s="12" t="n">
        <x:v>142</x:v>
      </x:c>
      <x:c r="J340" s="12" t="n">
        <x:v>131</x:v>
      </x:c>
      <x:c r="K340" s="12" t="n">
        <x:f>IF(D340="A",5,0)</x:f>
        <x:v>0</x:v>
      </x:c>
    </x:row>
    <x:row r="341" ht="30" customHeight="1">
      <x:c r="A341" s="11" t="n">
        <x:f>RANK.EQ(G341,$G$2:$G$523,0)</x:f>
        <x:v>339</x:v>
      </x:c>
      <x:c r="B341" s="7" t="str">
        <x:v>ZJ-025</x:v>
      </x:c>
      <x:c r="C341" s="7" t="str">
        <x:v>ZJ</x:v>
      </x:c>
      <x:c r="D341" s="7" t="str">
        <x:v>D</x:v>
      </x:c>
      <x:c r="E341" s="8" t="str">
        <x:v>胡墨</x:v>
      </x:c>
      <x:c r="F341" s="10" t="str">
        <x:v>浙江省杭州湖畔中学</x:v>
      </x:c>
      <x:c r="G341" s="12" t="n">
        <x:f>SUM(H341:J341)+K341</x:f>
        <x:v>373</x:v>
      </x:c>
      <x:c r="H341" s="12" t="n">
        <x:v>100</x:v>
      </x:c>
      <x:c r="I341" s="12" t="n">
        <x:v>173</x:v>
      </x:c>
      <x:c r="J341" s="12" t="n">
        <x:v>100</x:v>
      </x:c>
      <x:c r="K341" s="12" t="n">
        <x:f>IF(D341="A",5,0)</x:f>
        <x:v>0</x:v>
      </x:c>
    </x:row>
    <x:row r="342" ht="30" customHeight="1">
      <x:c r="A342" s="11" t="n">
        <x:f>RANK.EQ(G342,$G$2:$G$523,0)</x:f>
        <x:v>341</x:v>
      </x:c>
      <x:c r="B342" s="7" t="str">
        <x:v>HA-012</x:v>
      </x:c>
      <x:c r="C342" s="7" t="str">
        <x:v>HA</x:v>
      </x:c>
      <x:c r="D342" s="7" t="str">
        <x:v>E</x:v>
      </x:c>
      <x:c r="E342" s="8" t="str">
        <x:v>李瑞恒</x:v>
      </x:c>
      <x:c r="F342" s="10" t="str">
        <x:v>郑州市桐柏一中</x:v>
      </x:c>
      <x:c r="G342" s="12" t="n">
        <x:f>SUM(H342:J342)+K342</x:f>
        <x:v>372</x:v>
      </x:c>
      <x:c r="H342" s="12" t="n">
        <x:v>100</x:v>
      </x:c>
      <x:c r="I342" s="12" t="n">
        <x:v>144</x:v>
      </x:c>
      <x:c r="J342" s="12" t="n">
        <x:v>128</x:v>
      </x:c>
      <x:c r="K342" s="12" t="n">
        <x:f>IF(D342="A",5,0)</x:f>
        <x:v>0</x:v>
      </x:c>
    </x:row>
    <x:row r="343" ht="30" customHeight="1">
      <x:c r="A343" s="11" t="n">
        <x:f>RANK.EQ(G343,$G$2:$G$523,0)</x:f>
        <x:v>341</x:v>
      </x:c>
      <x:c r="B343" s="7" t="str">
        <x:v>HB-012</x:v>
      </x:c>
      <x:c r="C343" s="7" t="str">
        <x:v>HB</x:v>
      </x:c>
      <x:c r="D343" s="7" t="str">
        <x:v>E</x:v>
      </x:c>
      <x:c r="E343" s="8" t="str">
        <x:v>朱梓辰</x:v>
      </x:c>
      <x:c r="F343" s="10" t="str">
        <x:v>武汉实验外国语学校</x:v>
      </x:c>
      <x:c r="G343" s="12" t="n">
        <x:f>SUM(H343:J343)+K343</x:f>
        <x:v>372</x:v>
      </x:c>
      <x:c r="H343" s="12" t="n">
        <x:v>99</x:v>
      </x:c>
      <x:c r="I343" s="12" t="n">
        <x:v>175</x:v>
      </x:c>
      <x:c r="J343" s="12" t="n">
        <x:v>98</x:v>
      </x:c>
      <x:c r="K343" s="12" t="n">
        <x:f>IF(D343="A",5,0)</x:f>
        <x:v>0</x:v>
      </x:c>
    </x:row>
    <x:row r="344" ht="30" customHeight="1">
      <x:c r="A344" s="11" t="n">
        <x:f>RANK.EQ(G344,$G$2:$G$523,0)</x:f>
        <x:v>343</x:v>
      </x:c>
      <x:c r="B344" s="7" t="str">
        <x:v>HE-009</x:v>
      </x:c>
      <x:c r="C344" s="7" t="str">
        <x:v>HE</x:v>
      </x:c>
      <x:c r="D344" s="7" t="str">
        <x:v>B</x:v>
      </x:c>
      <x:c r="E344" s="8" t="str">
        <x:v>边骏廷</x:v>
      </x:c>
      <x:c r="F344" s="10" t="str">
        <x:v>河北衡水中学</x:v>
      </x:c>
      <x:c r="G344" s="12" t="n">
        <x:f>SUM(H344:J344)+K344</x:f>
        <x:v>371</x:v>
      </x:c>
      <x:c r="H344" s="12" t="n">
        <x:v>100</x:v>
      </x:c>
      <x:c r="I344" s="12" t="n">
        <x:v>165</x:v>
      </x:c>
      <x:c r="J344" s="12" t="n">
        <x:v>106</x:v>
      </x:c>
      <x:c r="K344" s="12" t="n">
        <x:f>IF(D344="A",5,0)</x:f>
        <x:v>0</x:v>
      </x:c>
    </x:row>
    <x:row r="345" ht="30" customHeight="1">
      <x:c r="A345" s="11" t="n">
        <x:f>RANK.EQ(G345,$G$2:$G$523,0)</x:f>
        <x:v>344</x:v>
      </x:c>
      <x:c r="B345" s="7" t="str">
        <x:v>BJ-033</x:v>
      </x:c>
      <x:c r="C345" s="7" t="str">
        <x:v>BJ</x:v>
      </x:c>
      <x:c r="D345" s="7" t="str">
        <x:v>D</x:v>
      </x:c>
      <x:c r="E345" s="8" t="str">
        <x:v>李子晨</x:v>
      </x:c>
      <x:c r="F345" s="10" t="str">
        <x:v>北京市第一〇一中学</x:v>
      </x:c>
      <x:c r="G345" s="12" t="n">
        <x:f>SUM(H345:J345)+K345</x:f>
        <x:v>370</x:v>
      </x:c>
      <x:c r="H345" s="12" t="n">
        <x:v>100</x:v>
      </x:c>
      <x:c r="I345" s="12" t="n">
        <x:v>180</x:v>
      </x:c>
      <x:c r="J345" s="12" t="n">
        <x:v>90</x:v>
      </x:c>
      <x:c r="K345" s="12" t="n">
        <x:f>IF(D345="A",5,0)</x:f>
        <x:v>0</x:v>
      </x:c>
    </x:row>
    <x:row r="346" ht="30" customHeight="1">
      <x:c r="A346" s="11" t="n">
        <x:f>RANK.EQ(G346,$G$2:$G$523,0)</x:f>
        <x:v>345</x:v>
      </x:c>
      <x:c r="B346" s="7" t="str">
        <x:v>FJ-024</x:v>
      </x:c>
      <x:c r="C346" s="7" t="str">
        <x:v>FJ</x:v>
      </x:c>
      <x:c r="D346" s="7" t="str">
        <x:v>D</x:v>
      </x:c>
      <x:c r="E346" s="8" t="str">
        <x:v>冯萧逸</x:v>
      </x:c>
      <x:c r="F346" s="10" t="str">
        <x:v>福州三牧中学</x:v>
      </x:c>
      <x:c r="G346" s="12" t="n">
        <x:f>SUM(H346:J346)+K346</x:f>
        <x:v>369</x:v>
      </x:c>
      <x:c r="H346" s="12" t="n">
        <x:v>100</x:v>
      </x:c>
      <x:c r="I346" s="12" t="n">
        <x:v>145</x:v>
      </x:c>
      <x:c r="J346" s="12" t="n">
        <x:v>124</x:v>
      </x:c>
      <x:c r="K346" s="12" t="n">
        <x:f>IF(D346="A",5,0)</x:f>
        <x:v>0</x:v>
      </x:c>
    </x:row>
    <x:row r="347" ht="30" customHeight="1">
      <x:c r="A347" s="11" t="n">
        <x:f>RANK.EQ(G347,$G$2:$G$523,0)</x:f>
        <x:v>346</x:v>
      </x:c>
      <x:c r="B347" s="7" t="str">
        <x:v>MO-001</x:v>
      </x:c>
      <x:c r="C347" s="7" t="str">
        <x:v>MO</x:v>
      </x:c>
      <x:c r="D347" s="7" t="str">
        <x:v>A</x:v>
      </x:c>
      <x:c r="E347" s="8" t="str">
        <x:v>鄧正浩</x:v>
      </x:c>
      <x:c r="F347" s="10" t="str">
        <x:v>濠江中學</x:v>
      </x:c>
      <x:c r="G347" s="12" t="n">
        <x:f>SUM(H347:J347)+K347</x:f>
        <x:v>368</x:v>
      </x:c>
      <x:c r="H347" s="12" t="n">
        <x:v>99</x:v>
      </x:c>
      <x:c r="I347" s="12" t="n">
        <x:v>170</x:v>
      </x:c>
      <x:c r="J347" s="12" t="n">
        <x:v>94</x:v>
      </x:c>
      <x:c r="K347" s="12" t="n">
        <x:f>IF(D347="A",5,0)</x:f>
        <x:v>5</x:v>
      </x:c>
    </x:row>
    <x:row r="348" ht="30" customHeight="1">
      <x:c r="A348" s="11" t="n">
        <x:f>RANK.EQ(G348,$G$2:$G$523,0)</x:f>
        <x:v>346</x:v>
      </x:c>
      <x:c r="B348" s="7" t="str">
        <x:v>SC-019</x:v>
      </x:c>
      <x:c r="C348" s="7" t="str">
        <x:v>SC</x:v>
      </x:c>
      <x:c r="D348" s="7" t="str">
        <x:v>D</x:v>
      </x:c>
      <x:c r="E348" s="8" t="str">
        <x:v>梁行健</x:v>
      </x:c>
      <x:c r="F348" s="10" t="str">
        <x:v>四川省广元外国语学校</x:v>
      </x:c>
      <x:c r="G348" s="12" t="n">
        <x:f>SUM(H348:J348)+K348</x:f>
        <x:v>368</x:v>
      </x:c>
      <x:c r="H348" s="12" t="n">
        <x:v>100</x:v>
      </x:c>
      <x:c r="I348" s="12" t="n">
        <x:v>140</x:v>
      </x:c>
      <x:c r="J348" s="12" t="n">
        <x:v>128</x:v>
      </x:c>
      <x:c r="K348" s="12" t="n">
        <x:f>IF(D348="A",5,0)</x:f>
        <x:v>0</x:v>
      </x:c>
    </x:row>
    <x:row r="349" ht="30" customHeight="1">
      <x:c r="A349" s="11" t="n">
        <x:f>RANK.EQ(G349,$G$2:$G$523,0)</x:f>
        <x:v>346</x:v>
      </x:c>
      <x:c r="B349" s="7" t="str">
        <x:v>SN-012</x:v>
      </x:c>
      <x:c r="C349" s="7" t="str">
        <x:v>SN</x:v>
      </x:c>
      <x:c r="D349" s="7" t="str">
        <x:v>D</x:v>
      </x:c>
      <x:c r="E349" s="8" t="str">
        <x:v>李承恩</x:v>
      </x:c>
      <x:c r="F349" s="10" t="str">
        <x:v>西安湖滨中学</x:v>
      </x:c>
      <x:c r="G349" s="12" t="n">
        <x:f>SUM(H349:J349)+K349</x:f>
        <x:v>368</x:v>
      </x:c>
      <x:c r="H349" s="12" t="n">
        <x:v>99</x:v>
      </x:c>
      <x:c r="I349" s="12" t="n">
        <x:v>145</x:v>
      </x:c>
      <x:c r="J349" s="12" t="n">
        <x:v>124</x:v>
      </x:c>
      <x:c r="K349" s="12" t="n">
        <x:f>IF(D349="A",5,0)</x:f>
        <x:v>0</x:v>
      </x:c>
    </x:row>
    <x:row r="350" ht="30" customHeight="1">
      <x:c r="A350" s="11" t="n">
        <x:f>RANK.EQ(G350,$G$2:$G$523,0)</x:f>
        <x:v>349</x:v>
      </x:c>
      <x:c r="B350" s="7" t="str">
        <x:v>ZJ-042</x:v>
      </x:c>
      <x:c r="C350" s="7" t="str">
        <x:v>ZJ</x:v>
      </x:c>
      <x:c r="D350" s="7" t="str">
        <x:v>D</x:v>
      </x:c>
      <x:c r="E350" s="8" t="str">
        <x:v>张云帆</x:v>
      </x:c>
      <x:c r="F350" s="10" t="str">
        <x:v>宁波市镇海区中兴中学</x:v>
      </x:c>
      <x:c r="G350" s="12" t="n">
        <x:f>SUM(H350:J350)+K350</x:f>
        <x:v>367</x:v>
      </x:c>
      <x:c r="H350" s="12" t="n">
        <x:v>99</x:v>
      </x:c>
      <x:c r="I350" s="12" t="n">
        <x:v>132</x:v>
      </x:c>
      <x:c r="J350" s="12" t="n">
        <x:v>136</x:v>
      </x:c>
      <x:c r="K350" s="12" t="n">
        <x:f>IF(D350="A",5,0)</x:f>
        <x:v>0</x:v>
      </x:c>
    </x:row>
    <x:row r="351" ht="30" customHeight="1">
      <x:c r="A351" s="11" t="n">
        <x:f>RANK.EQ(G351,$G$2:$G$523,0)</x:f>
        <x:v>350</x:v>
      </x:c>
      <x:c r="B351" s="7" t="str">
        <x:v>GD-022</x:v>
      </x:c>
      <x:c r="C351" s="7" t="str">
        <x:v>GD</x:v>
      </x:c>
      <x:c r="D351" s="7" t="str">
        <x:v>D</x:v>
      </x:c>
      <x:c r="E351" s="8" t="str">
        <x:v>赵崧维</x:v>
      </x:c>
      <x:c r="F351" s="10" t="str">
        <x:v>佛山市南海区石门中学</x:v>
      </x:c>
      <x:c r="G351" s="12" t="n">
        <x:f>SUM(H351:J351)+K351</x:f>
        <x:v>366</x:v>
      </x:c>
      <x:c r="H351" s="12" t="n">
        <x:v>100</x:v>
      </x:c>
      <x:c r="I351" s="12" t="n">
        <x:v>160</x:v>
      </x:c>
      <x:c r="J351" s="12" t="n">
        <x:v>106</x:v>
      </x:c>
      <x:c r="K351" s="12" t="n">
        <x:f>IF(D351="A",5,0)</x:f>
        <x:v>0</x:v>
      </x:c>
    </x:row>
    <x:row r="352" ht="30" customHeight="1">
      <x:c r="A352" s="11" t="n">
        <x:f>RANK.EQ(G352,$G$2:$G$523,0)</x:f>
        <x:v>350</x:v>
      </x:c>
      <x:c r="B352" s="7" t="str">
        <x:v>HK-004</x:v>
      </x:c>
      <x:c r="C352" s="7" t="str">
        <x:v>HK</x:v>
      </x:c>
      <x:c r="D352" s="7" t="str">
        <x:v>A</x:v>
      </x:c>
      <x:c r="E352" s="8" t="str">
        <x:v>周界熹</x:v>
      </x:c>
      <x:c r="F352" s="10" t="str">
        <x:v>香港培正中學</x:v>
      </x:c>
      <x:c r="G352" s="12" t="n">
        <x:f>SUM(H352:J352)+K352</x:f>
        <x:v>366</x:v>
      </x:c>
      <x:c r="H352" s="12" t="n">
        <x:v>100</x:v>
      </x:c>
      <x:c r="I352" s="12" t="n">
        <x:v>176</x:v>
      </x:c>
      <x:c r="J352" s="12" t="n">
        <x:v>85</x:v>
      </x:c>
      <x:c r="K352" s="12" t="n">
        <x:f>IF(D352="A",5,0)</x:f>
        <x:v>5</x:v>
      </x:c>
    </x:row>
    <x:row r="353" ht="30" customHeight="1">
      <x:c r="A353" s="11" t="n">
        <x:f>RANK.EQ(G353,$G$2:$G$523,0)</x:f>
        <x:v>352</x:v>
      </x:c>
      <x:c r="B353" s="7" t="str">
        <x:v>AH-010</x:v>
      </x:c>
      <x:c r="C353" s="7" t="str">
        <x:v>AH</x:v>
      </x:c>
      <x:c r="D353" s="7" t="str">
        <x:v>D</x:v>
      </x:c>
      <x:c r="E353" s="8" t="str">
        <x:v>王思源</x:v>
      </x:c>
      <x:c r="F353" s="10" t="str">
        <x:v>安徽师范大学附属中学</x:v>
      </x:c>
      <x:c r="G353" s="12" t="n">
        <x:f>SUM(H353:J353)+K353</x:f>
        <x:v>365</x:v>
      </x:c>
      <x:c r="H353" s="12" t="n">
        <x:v>100</x:v>
      </x:c>
      <x:c r="I353" s="12" t="n">
        <x:v>145</x:v>
      </x:c>
      <x:c r="J353" s="12" t="n">
        <x:v>120</x:v>
      </x:c>
      <x:c r="K353" s="12" t="n">
        <x:f>IF(D353="A",5,0)</x:f>
        <x:v>0</x:v>
      </x:c>
    </x:row>
    <x:row r="354" ht="30" customHeight="1">
      <x:c r="A354" s="11" t="n">
        <x:f>RANK.EQ(G354,$G$2:$G$523,0)</x:f>
        <x:v>352</x:v>
      </x:c>
      <x:c r="B354" s="7" t="str">
        <x:v>FJ-022</x:v>
      </x:c>
      <x:c r="C354" s="7" t="str">
        <x:v>FJ</x:v>
      </x:c>
      <x:c r="D354" s="7" t="str">
        <x:v>D</x:v>
      </x:c>
      <x:c r="E354" s="8" t="str">
        <x:v>陈纪亮鼎</x:v>
      </x:c>
      <x:c r="F354" s="10" t="str">
        <x:v>福建省厦门第一中学</x:v>
      </x:c>
      <x:c r="G354" s="12" t="n">
        <x:f>SUM(H354:J354)+K354</x:f>
        <x:v>365</x:v>
      </x:c>
      <x:c r="H354" s="12" t="n">
        <x:v>99</x:v>
      </x:c>
      <x:c r="I354" s="12" t="n">
        <x:v>138</x:v>
      </x:c>
      <x:c r="J354" s="12" t="n">
        <x:v>128</x:v>
      </x:c>
      <x:c r="K354" s="12" t="n">
        <x:f>IF(D354="A",5,0)</x:f>
        <x:v>0</x:v>
      </x:c>
    </x:row>
    <x:row r="355" ht="30" customHeight="1">
      <x:c r="A355" s="11" t="n">
        <x:f>RANK.EQ(G355,$G$2:$G$523,0)</x:f>
        <x:v>352</x:v>
      </x:c>
      <x:c r="B355" s="7" t="str">
        <x:v>HK-006</x:v>
      </x:c>
      <x:c r="C355" s="7" t="str">
        <x:v>HK</x:v>
      </x:c>
      <x:c r="D355" s="7" t="str">
        <x:v>B</x:v>
      </x:c>
      <x:c r="E355" s="8" t="str">
        <x:v>龍秉謙</x:v>
      </x:c>
      <x:c r="F355" s="10" t="str">
        <x:v>九龍華仁書院</x:v>
      </x:c>
      <x:c r="G355" s="12" t="n">
        <x:f>SUM(H355:J355)+K355</x:f>
        <x:v>365</x:v>
      </x:c>
      <x:c r="H355" s="12" t="n">
        <x:v>100</x:v>
      </x:c>
      <x:c r="I355" s="12" t="n">
        <x:v>166</x:v>
      </x:c>
      <x:c r="J355" s="12" t="n">
        <x:v>99</x:v>
      </x:c>
      <x:c r="K355" s="12" t="n">
        <x:f>IF(D355="A",5,0)</x:f>
        <x:v>0</x:v>
      </x:c>
    </x:row>
    <x:row r="356" ht="30" customHeight="1">
      <x:c r="A356" s="11" t="n">
        <x:f>RANK.EQ(G356,$G$2:$G$523,0)</x:f>
        <x:v>352</x:v>
      </x:c>
      <x:c r="B356" s="7" t="str">
        <x:v>SD-007</x:v>
      </x:c>
      <x:c r="C356" s="7" t="str">
        <x:v>SD</x:v>
      </x:c>
      <x:c r="D356" s="7" t="str">
        <x:v>A</x:v>
      </x:c>
      <x:c r="E356" s="8" t="str">
        <x:v>梁钰涵</x:v>
      </x:c>
      <x:c r="F356" s="10" t="str">
        <x:v>青岛市城阳第一高级中学</x:v>
      </x:c>
      <x:c r="G356" s="12" t="n">
        <x:f>SUM(H356:J356)+K356</x:f>
        <x:v>365</x:v>
      </x:c>
      <x:c r="H356" s="12" t="n">
        <x:v>100</x:v>
      </x:c>
      <x:c r="I356" s="12" t="n">
        <x:v>140</x:v>
      </x:c>
      <x:c r="J356" s="12" t="n">
        <x:v>120</x:v>
      </x:c>
      <x:c r="K356" s="12" t="n">
        <x:f>IF(D356="A",5,0)</x:f>
        <x:v>5</x:v>
      </x:c>
    </x:row>
    <x:row r="357" ht="30" customHeight="1">
      <x:c r="A357" s="11" t="n">
        <x:f>RANK.EQ(G357,$G$2:$G$523,0)</x:f>
        <x:v>356</x:v>
      </x:c>
      <x:c r="B357" s="7" t="str">
        <x:v>JL-004</x:v>
      </x:c>
      <x:c r="C357" s="7" t="str">
        <x:v>JL</x:v>
      </x:c>
      <x:c r="D357" s="7" t="str">
        <x:v>A</x:v>
      </x:c>
      <x:c r="E357" s="8" t="str">
        <x:v>董谨榕</x:v>
      </x:c>
      <x:c r="F357" s="10" t="str">
        <x:v>长春东师附中青华学校</x:v>
      </x:c>
      <x:c r="G357" s="12" t="n">
        <x:f>SUM(H357:J357)+K357</x:f>
        <x:v>364</x:v>
      </x:c>
      <x:c r="H357" s="12" t="n">
        <x:v>99</x:v>
      </x:c>
      <x:c r="I357" s="12" t="n">
        <x:v>140</x:v>
      </x:c>
      <x:c r="J357" s="12" t="n">
        <x:v>120</x:v>
      </x:c>
      <x:c r="K357" s="12" t="n">
        <x:f>IF(D357="A",5,0)</x:f>
        <x:v>5</x:v>
      </x:c>
    </x:row>
    <x:row r="358" ht="30" customHeight="1">
      <x:c r="A358" s="11" t="n">
        <x:f>RANK.EQ(G358,$G$2:$G$523,0)</x:f>
        <x:v>356</x:v>
      </x:c>
      <x:c r="B358" s="7" t="str">
        <x:v>SC-020</x:v>
      </x:c>
      <x:c r="C358" s="7" t="str">
        <x:v>SC</x:v>
      </x:c>
      <x:c r="D358" s="7" t="str">
        <x:v>D</x:v>
      </x:c>
      <x:c r="E358" s="8" t="str">
        <x:v>刘子墨</x:v>
      </x:c>
      <x:c r="F358" s="10" t="str">
        <x:v>成都市成华区嘉祥外国语高级中学</x:v>
      </x:c>
      <x:c r="G358" s="12" t="n">
        <x:f>SUM(H358:J358)+K358</x:f>
        <x:v>364</x:v>
      </x:c>
      <x:c r="H358" s="12" t="n">
        <x:v>100</x:v>
      </x:c>
      <x:c r="I358" s="12" t="n">
        <x:v>142</x:v>
      </x:c>
      <x:c r="J358" s="12" t="n">
        <x:v>122</x:v>
      </x:c>
      <x:c r="K358" s="12" t="n">
        <x:f>IF(D358="A",5,0)</x:f>
        <x:v>0</x:v>
      </x:c>
    </x:row>
    <x:row r="359" ht="30" customHeight="1">
      <x:c r="A359" s="11" t="n">
        <x:f>RANK.EQ(G359,$G$2:$G$523,0)</x:f>
        <x:v>356</x:v>
      </x:c>
      <x:c r="B359" s="7" t="str">
        <x:v>SD-038</x:v>
      </x:c>
      <x:c r="C359" s="7" t="str">
        <x:v>SD</x:v>
      </x:c>
      <x:c r="D359" s="7" t="str">
        <x:v>D</x:v>
      </x:c>
      <x:c r="E359" s="8" t="str">
        <x:v>马光贤</x:v>
      </x:c>
      <x:c r="F359" s="10" t="str">
        <x:v>龙口第一中学</x:v>
      </x:c>
      <x:c r="G359" s="12" t="n">
        <x:f>SUM(H359:J359)+K359</x:f>
        <x:v>364</x:v>
      </x:c>
      <x:c r="H359" s="12" t="n">
        <x:v>99</x:v>
      </x:c>
      <x:c r="I359" s="12" t="n">
        <x:v>145</x:v>
      </x:c>
      <x:c r="J359" s="12" t="n">
        <x:v>120</x:v>
      </x:c>
      <x:c r="K359" s="12" t="n">
        <x:f>IF(D359="A",5,0)</x:f>
        <x:v>0</x:v>
      </x:c>
    </x:row>
    <x:row r="360" ht="30" customHeight="1">
      <x:c r="A360" s="11" t="n">
        <x:f>RANK.EQ(G360,$G$2:$G$523,0)</x:f>
        <x:v>356</x:v>
      </x:c>
      <x:c r="B360" s="7" t="str">
        <x:v>ZJ-033</x:v>
      </x:c>
      <x:c r="C360" s="7" t="str">
        <x:v>ZJ</x:v>
      </x:c>
      <x:c r="D360" s="7" t="str">
        <x:v>D</x:v>
      </x:c>
      <x:c r="E360" s="8" t="str">
        <x:v>王一丞</x:v>
      </x:c>
      <x:c r="F360" s="10" t="str">
        <x:v>宁波市效实中学</x:v>
      </x:c>
      <x:c r="G360" s="12" t="n">
        <x:f>SUM(H360:J360)+K360</x:f>
        <x:v>364</x:v>
      </x:c>
      <x:c r="H360" s="12" t="n">
        <x:v>100</x:v>
      </x:c>
      <x:c r="I360" s="12" t="n">
        <x:v>144</x:v>
      </x:c>
      <x:c r="J360" s="12" t="n">
        <x:v>120</x:v>
      </x:c>
      <x:c r="K360" s="12" t="n">
        <x:f>IF(D360="A",5,0)</x:f>
        <x:v>0</x:v>
      </x:c>
    </x:row>
    <x:row r="361" ht="30" customHeight="1">
      <x:c r="A361" s="11" t="n">
        <x:f>RANK.EQ(G361,$G$2:$G$523,0)</x:f>
        <x:v>360</x:v>
      </x:c>
      <x:c r="B361" s="7" t="str">
        <x:v>HN-018</x:v>
      </x:c>
      <x:c r="C361" s="7" t="str">
        <x:v>HN</x:v>
      </x:c>
      <x:c r="D361" s="7" t="str">
        <x:v>D</x:v>
      </x:c>
      <x:c r="E361" s="8" t="str">
        <x:v>蒋金洲</x:v>
      </x:c>
      <x:c r="F361" s="10" t="str">
        <x:v>长沙市雅礼中学</x:v>
      </x:c>
      <x:c r="G361" s="12" t="n">
        <x:f>SUM(H361:J361)+K361</x:f>
        <x:v>363</x:v>
      </x:c>
      <x:c r="H361" s="12" t="n">
        <x:v>100</x:v>
      </x:c>
      <x:c r="I361" s="12" t="n">
        <x:v>163</x:v>
      </x:c>
      <x:c r="J361" s="12" t="n">
        <x:v>100</x:v>
      </x:c>
      <x:c r="K361" s="12" t="n">
        <x:f>IF(D361="A",5,0)</x:f>
        <x:v>0</x:v>
      </x:c>
    </x:row>
    <x:row r="362" ht="30" customHeight="1">
      <x:c r="A362" s="11" t="n">
        <x:f>RANK.EQ(G362,$G$2:$G$523,0)</x:f>
        <x:v>361</x:v>
      </x:c>
      <x:c r="B362" s="7" t="str">
        <x:v>BJ-034</x:v>
      </x:c>
      <x:c r="C362" s="7" t="str">
        <x:v>BJ</x:v>
      </x:c>
      <x:c r="D362" s="7" t="str">
        <x:v>D</x:v>
      </x:c>
      <x:c r="E362" s="8" t="str">
        <x:v>臧兆仑</x:v>
      </x:c>
      <x:c r="F362" s="10" t="str">
        <x:v>北京市第一〇一中学</x:v>
      </x:c>
      <x:c r="G362" s="12" t="n">
        <x:f>SUM(H362:J362)+K362</x:f>
        <x:v>361</x:v>
      </x:c>
      <x:c r="H362" s="12" t="n">
        <x:v>100</x:v>
      </x:c>
      <x:c r="I362" s="12" t="n">
        <x:v>176</x:v>
      </x:c>
      <x:c r="J362" s="12" t="n">
        <x:v>85</x:v>
      </x:c>
      <x:c r="K362" s="12" t="n">
        <x:f>IF(D362="A",5,0)</x:f>
        <x:v>0</x:v>
      </x:c>
    </x:row>
    <x:row r="363" ht="30" customHeight="1">
      <x:c r="A363" s="11" t="n">
        <x:f>RANK.EQ(G363,$G$2:$G$523,0)</x:f>
        <x:v>361</x:v>
      </x:c>
      <x:c r="B363" s="7" t="str">
        <x:v>FJ-019</x:v>
      </x:c>
      <x:c r="C363" s="7" t="str">
        <x:v>FJ</x:v>
      </x:c>
      <x:c r="D363" s="7" t="str">
        <x:v>D</x:v>
      </x:c>
      <x:c r="E363" s="8" t="str">
        <x:v>余若辰</x:v>
      </x:c>
      <x:c r="F363" s="10" t="str">
        <x:v>厦门市湖滨中学</x:v>
      </x:c>
      <x:c r="G363" s="12" t="n">
        <x:f>SUM(H363:J363)+K363</x:f>
        <x:v>361</x:v>
      </x:c>
      <x:c r="H363" s="12" t="n">
        <x:v>100</x:v>
      </x:c>
      <x:c r="I363" s="12" t="n">
        <x:v>166</x:v>
      </x:c>
      <x:c r="J363" s="12" t="n">
        <x:v>95</x:v>
      </x:c>
      <x:c r="K363" s="12" t="n">
        <x:f>IF(D363="A",5,0)</x:f>
        <x:v>0</x:v>
      </x:c>
    </x:row>
    <x:row r="364" ht="30" customHeight="1">
      <x:c r="A364" s="11" t="n">
        <x:f>RANK.EQ(G364,$G$2:$G$523,0)</x:f>
        <x:v>361</x:v>
      </x:c>
      <x:c r="B364" s="7" t="str">
        <x:v>GD-034</x:v>
      </x:c>
      <x:c r="C364" s="7" t="str">
        <x:v>GD</x:v>
      </x:c>
      <x:c r="D364" s="7" t="str">
        <x:v>D</x:v>
      </x:c>
      <x:c r="E364" s="8" t="str">
        <x:v>杨金城</x:v>
      </x:c>
      <x:c r="F364" s="10" t="str">
        <x:v>广州大学附属中学</x:v>
      </x:c>
      <x:c r="G364" s="12" t="n">
        <x:f>SUM(H364:J364)+K364</x:f>
        <x:v>361</x:v>
      </x:c>
      <x:c r="H364" s="12" t="n">
        <x:v>100</x:v>
      </x:c>
      <x:c r="I364" s="12" t="n">
        <x:v>163</x:v>
      </x:c>
      <x:c r="J364" s="12" t="n">
        <x:v>98</x:v>
      </x:c>
      <x:c r="K364" s="12" t="n">
        <x:f>IF(D364="A",5,0)</x:f>
        <x:v>0</x:v>
      </x:c>
    </x:row>
    <x:row r="365" ht="30" customHeight="1">
      <x:c r="A365" s="11" t="n">
        <x:f>RANK.EQ(G365,$G$2:$G$523,0)</x:f>
        <x:v>364</x:v>
      </x:c>
      <x:c r="B365" s="7" t="str">
        <x:v>HB-009</x:v>
      </x:c>
      <x:c r="C365" s="7" t="str">
        <x:v>HB</x:v>
      </x:c>
      <x:c r="D365" s="7" t="str">
        <x:v>B</x:v>
      </x:c>
      <x:c r="E365" s="8" t="str">
        <x:v>李俊成</x:v>
      </x:c>
      <x:c r="F365" s="10" t="str">
        <x:v>武汉市常青第一中学</x:v>
      </x:c>
      <x:c r="G365" s="12" t="n">
        <x:f>SUM(H365:J365)+K365</x:f>
        <x:v>360</x:v>
      </x:c>
      <x:c r="H365" s="12" t="n">
        <x:v>100</x:v>
      </x:c>
      <x:c r="I365" s="12" t="n">
        <x:v>132</x:v>
      </x:c>
      <x:c r="J365" s="12" t="n">
        <x:v>128</x:v>
      </x:c>
      <x:c r="K365" s="12" t="n">
        <x:f>IF(D365="A",5,0)</x:f>
        <x:v>0</x:v>
      </x:c>
    </x:row>
    <x:row r="366" ht="30" customHeight="1">
      <x:c r="A366" s="11" t="n">
        <x:f>RANK.EQ(G366,$G$2:$G$523,0)</x:f>
        <x:v>364</x:v>
      </x:c>
      <x:c r="B366" s="7" t="str">
        <x:v>HN-014</x:v>
      </x:c>
      <x:c r="C366" s="7" t="str">
        <x:v>HN</x:v>
      </x:c>
      <x:c r="D366" s="7" t="str">
        <x:v>D</x:v>
      </x:c>
      <x:c r="E366" s="8" t="str">
        <x:v>易牧华</x:v>
      </x:c>
      <x:c r="F366" s="10" t="str">
        <x:v>长沙市长郡中学</x:v>
      </x:c>
      <x:c r="G366" s="12" t="n">
        <x:f>SUM(H366:J366)+K366</x:f>
        <x:v>360</x:v>
      </x:c>
      <x:c r="H366" s="12" t="n">
        <x:v>100</x:v>
      </x:c>
      <x:c r="I366" s="12" t="n">
        <x:v>170</x:v>
      </x:c>
      <x:c r="J366" s="12" t="n">
        <x:v>90</x:v>
      </x:c>
      <x:c r="K366" s="12" t="n">
        <x:f>IF(D366="A",5,0)</x:f>
        <x:v>0</x:v>
      </x:c>
    </x:row>
    <x:row r="367" ht="30" customHeight="1">
      <x:c r="A367" s="11" t="n">
        <x:f>RANK.EQ(G367,$G$2:$G$523,0)</x:f>
        <x:v>366</x:v>
      </x:c>
      <x:c r="B367" s="7" t="str">
        <x:v>HI-001</x:v>
      </x:c>
      <x:c r="C367" s="7" t="str">
        <x:v>HI</x:v>
      </x:c>
      <x:c r="D367" s="7" t="str">
        <x:v>A</x:v>
      </x:c>
      <x:c r="E367" s="8" t="str">
        <x:v>关陈晓</x:v>
      </x:c>
      <x:c r="F367" s="10" t="str">
        <x:v>北京师范大学海口附属学校</x:v>
      </x:c>
      <x:c r="G367" s="12" t="n">
        <x:f>SUM(H367:J367)+K367</x:f>
        <x:v>359</x:v>
      </x:c>
      <x:c r="H367" s="12" t="n">
        <x:v>100</x:v>
      </x:c>
      <x:c r="I367" s="12" t="n">
        <x:v>156</x:v>
      </x:c>
      <x:c r="J367" s="12" t="n">
        <x:v>98</x:v>
      </x:c>
      <x:c r="K367" s="12" t="n">
        <x:f>IF(D367="A",5,0)</x:f>
        <x:v>5</x:v>
      </x:c>
    </x:row>
    <x:row r="368" ht="30" customHeight="1">
      <x:c r="A368" s="11" t="n">
        <x:f>RANK.EQ(G368,$G$2:$G$523,0)</x:f>
        <x:v>366</x:v>
      </x:c>
      <x:c r="B368" s="7" t="str">
        <x:v>HN-022</x:v>
      </x:c>
      <x:c r="C368" s="7" t="str">
        <x:v>HN</x:v>
      </x:c>
      <x:c r="D368" s="7" t="str">
        <x:v>D</x:v>
      </x:c>
      <x:c r="E368" s="8" t="str">
        <x:v>谭沐崚</x:v>
      </x:c>
      <x:c r="F368" s="10" t="str">
        <x:v>湖南师范大学附属中学</x:v>
      </x:c>
      <x:c r="G368" s="12" t="n">
        <x:f>SUM(H368:J368)+K368</x:f>
        <x:v>359</x:v>
      </x:c>
      <x:c r="H368" s="12" t="n">
        <x:v>99</x:v>
      </x:c>
      <x:c r="I368" s="12" t="n">
        <x:v>140</x:v>
      </x:c>
      <x:c r="J368" s="12" t="n">
        <x:v>120</x:v>
      </x:c>
      <x:c r="K368" s="12" t="n">
        <x:f>IF(D368="A",5,0)</x:f>
        <x:v>0</x:v>
      </x:c>
    </x:row>
    <x:row r="369" ht="30" customHeight="1">
      <x:c r="A369" s="11" t="n">
        <x:f>RANK.EQ(G369,$G$2:$G$523,0)</x:f>
        <x:v>368</x:v>
      </x:c>
      <x:c r="B369" s="7" t="str">
        <x:v>SH-020</x:v>
      </x:c>
      <x:c r="C369" s="7" t="str">
        <x:v>SH</x:v>
      </x:c>
      <x:c r="D369" s="7" t="str">
        <x:v>D</x:v>
      </x:c>
      <x:c r="E369" s="8" t="str">
        <x:v>苏睦尧</x:v>
      </x:c>
      <x:c r="F369" s="10" t="str">
        <x:v>上海市存志学校</x:v>
      </x:c>
      <x:c r="G369" s="12" t="n">
        <x:f>SUM(H369:J369)+K369</x:f>
        <x:v>356</x:v>
      </x:c>
      <x:c r="H369" s="12" t="n">
        <x:v>100</x:v>
      </x:c>
      <x:c r="I369" s="12" t="n">
        <x:v>162</x:v>
      </x:c>
      <x:c r="J369" s="12" t="n">
        <x:v>94</x:v>
      </x:c>
      <x:c r="K369" s="12" t="n">
        <x:f>IF(D369="A",5,0)</x:f>
        <x:v>0</x:v>
      </x:c>
    </x:row>
    <x:row r="370" ht="30" customHeight="1">
      <x:c r="A370" s="11" t="n">
        <x:f>RANK.EQ(G370,$G$2:$G$523,0)</x:f>
        <x:v>369</x:v>
      </x:c>
      <x:c r="B370" s="7" t="str">
        <x:v>HB-011</x:v>
      </x:c>
      <x:c r="C370" s="7" t="str">
        <x:v>HB</x:v>
      </x:c>
      <x:c r="D370" s="7" t="str">
        <x:v>D</x:v>
      </x:c>
      <x:c r="E370" s="8" t="str">
        <x:v>黄铭夏</x:v>
      </x:c>
      <x:c r="F370" s="10" t="str">
        <x:v>黄石市第二中学</x:v>
      </x:c>
      <x:c r="G370" s="12" t="n">
        <x:f>SUM(H370:J370)+K370</x:f>
        <x:v>354</x:v>
      </x:c>
      <x:c r="H370" s="12" t="n">
        <x:v>100</x:v>
      </x:c>
      <x:c r="I370" s="12" t="n">
        <x:v>154</x:v>
      </x:c>
      <x:c r="J370" s="12" t="n">
        <x:v>100</x:v>
      </x:c>
      <x:c r="K370" s="12" t="n">
        <x:f>IF(D370="A",5,0)</x:f>
        <x:v>0</x:v>
      </x:c>
    </x:row>
    <x:row r="371" ht="30" customHeight="1">
      <x:c r="A371" s="11" t="n">
        <x:f>RANK.EQ(G371,$G$2:$G$523,0)</x:f>
        <x:v>370</x:v>
      </x:c>
      <x:c r="B371" s="7" t="str">
        <x:v>ZJ-032</x:v>
      </x:c>
      <x:c r="C371" s="7" t="str">
        <x:v>ZJ</x:v>
      </x:c>
      <x:c r="D371" s="7" t="str">
        <x:v>D</x:v>
      </x:c>
      <x:c r="E371" s="8" t="str">
        <x:v>王泰然</x:v>
      </x:c>
      <x:c r="F371" s="10" t="str">
        <x:v>杭州学军中学海创园学校</x:v>
      </x:c>
      <x:c r="G371" s="12" t="n">
        <x:f>SUM(H371:J371)+K371</x:f>
        <x:v>353</x:v>
      </x:c>
      <x:c r="H371" s="12" t="n">
        <x:v>100</x:v>
      </x:c>
      <x:c r="I371" s="12" t="n">
        <x:v>163</x:v>
      </x:c>
      <x:c r="J371" s="12" t="n">
        <x:v>90</x:v>
      </x:c>
      <x:c r="K371" s="12" t="n">
        <x:f>IF(D371="A",5,0)</x:f>
        <x:v>0</x:v>
      </x:c>
    </x:row>
    <x:row r="372" ht="30" customHeight="1">
      <x:c r="A372" s="11" t="n">
        <x:f>RANK.EQ(G372,$G$2:$G$523,0)</x:f>
        <x:v>371</x:v>
      </x:c>
      <x:c r="B372" s="7" t="str">
        <x:v>FJ-016</x:v>
      </x:c>
      <x:c r="C372" s="7" t="str">
        <x:v>FJ</x:v>
      </x:c>
      <x:c r="D372" s="7" t="str">
        <x:v>D</x:v>
      </x:c>
      <x:c r="E372" s="8" t="str">
        <x:v>王演平</x:v>
      </x:c>
      <x:c r="F372" s="10" t="str">
        <x:v>福建师范大学附属中学</x:v>
      </x:c>
      <x:c r="G372" s="12" t="n">
        <x:f>SUM(H372:J372)+K372</x:f>
        <x:v>352</x:v>
      </x:c>
      <x:c r="H372" s="12" t="n">
        <x:v>100</x:v>
      </x:c>
      <x:c r="I372" s="12" t="n">
        <x:v>162</x:v>
      </x:c>
      <x:c r="J372" s="12" t="n">
        <x:v>90</x:v>
      </x:c>
      <x:c r="K372" s="12" t="n">
        <x:f>IF(D372="A",5,0)</x:f>
        <x:v>0</x:v>
      </x:c>
    </x:row>
    <x:row r="373" ht="30" customHeight="1">
      <x:c r="A373" s="11" t="n">
        <x:f>RANK.EQ(G373,$G$2:$G$523,0)</x:f>
        <x:v>372</x:v>
      </x:c>
      <x:c r="B373" s="7" t="str">
        <x:v>SD-028</x:v>
      </x:c>
      <x:c r="C373" s="7" t="str">
        <x:v>SD</x:v>
      </x:c>
      <x:c r="D373" s="7" t="str">
        <x:v>D</x:v>
      </x:c>
      <x:c r="E373" s="8" t="str">
        <x:v>杨恩硕</x:v>
      </x:c>
      <x:c r="F373" s="10" t="str">
        <x:v>青岛西海岸中学</x:v>
      </x:c>
      <x:c r="G373" s="12" t="n">
        <x:f>SUM(H373:J373)+K373</x:f>
        <x:v>351</x:v>
      </x:c>
      <x:c r="H373" s="12" t="n">
        <x:v>100</x:v>
      </x:c>
      <x:c r="I373" s="12" t="n">
        <x:v>136</x:v>
      </x:c>
      <x:c r="J373" s="12" t="n">
        <x:v>115</x:v>
      </x:c>
      <x:c r="K373" s="12" t="n">
        <x:f>IF(D373="A",5,0)</x:f>
        <x:v>0</x:v>
      </x:c>
    </x:row>
    <x:row r="374" ht="30" customHeight="1">
      <x:c r="A374" s="11" t="n">
        <x:f>RANK.EQ(G374,$G$2:$G$523,0)</x:f>
        <x:v>373</x:v>
      </x:c>
      <x:c r="B374" s="7" t="str">
        <x:v>FJ-015</x:v>
      </x:c>
      <x:c r="C374" s="7" t="str">
        <x:v>FJ</x:v>
      </x:c>
      <x:c r="D374" s="7" t="str">
        <x:v>D</x:v>
      </x:c>
      <x:c r="E374" s="8" t="str">
        <x:v>许正茂</x:v>
      </x:c>
      <x:c r="F374" s="10" t="str">
        <x:v>福建师范大学附属中学</x:v>
      </x:c>
      <x:c r="G374" s="12" t="n">
        <x:f>SUM(H374:J374)+K374</x:f>
        <x:v>346</x:v>
      </x:c>
      <x:c r="H374" s="12" t="n">
        <x:v>100</x:v>
      </x:c>
      <x:c r="I374" s="12" t="n">
        <x:v>133</x:v>
      </x:c>
      <x:c r="J374" s="12" t="n">
        <x:v>113</x:v>
      </x:c>
      <x:c r="K374" s="12" t="n">
        <x:f>IF(D374="A",5,0)</x:f>
        <x:v>0</x:v>
      </x:c>
    </x:row>
    <x:row r="375" ht="30" customHeight="1">
      <x:c r="A375" s="11" t="n">
        <x:f>RANK.EQ(G375,$G$2:$G$523,0)</x:f>
        <x:v>373</x:v>
      </x:c>
      <x:c r="B375" s="7" t="str">
        <x:v>YN-002</x:v>
      </x:c>
      <x:c r="C375" s="7" t="str">
        <x:v>YN</x:v>
      </x:c>
      <x:c r="D375" s="7" t="str">
        <x:v>A</x:v>
      </x:c>
      <x:c r="E375" s="8" t="str">
        <x:v>王荣昊</x:v>
      </x:c>
      <x:c r="F375" s="10" t="str">
        <x:v>云南省昆明市第十中学</x:v>
      </x:c>
      <x:c r="G375" s="12" t="n">
        <x:f>SUM(H375:J375)+K375</x:f>
        <x:v>346</x:v>
      </x:c>
      <x:c r="H375" s="12" t="n">
        <x:v>100</x:v>
      </x:c>
      <x:c r="I375" s="12" t="n">
        <x:v>161</x:v>
      </x:c>
      <x:c r="J375" s="12" t="n">
        <x:v>80</x:v>
      </x:c>
      <x:c r="K375" s="12" t="n">
        <x:f>IF(D375="A",5,0)</x:f>
        <x:v>5</x:v>
      </x:c>
    </x:row>
    <x:row r="376" ht="30" customHeight="1">
      <x:c r="A376" s="11" t="n">
        <x:f>RANK.EQ(G376,$G$2:$G$523,0)</x:f>
        <x:v>375</x:v>
      </x:c>
      <x:c r="B376" s="7" t="str">
        <x:v>HN-024</x:v>
      </x:c>
      <x:c r="C376" s="7" t="str">
        <x:v>HN</x:v>
      </x:c>
      <x:c r="D376" s="7" t="str">
        <x:v>D</x:v>
      </x:c>
      <x:c r="E376" s="8" t="str">
        <x:v>常哲恺</x:v>
      </x:c>
      <x:c r="F376" s="10" t="str">
        <x:v>湖南省长沙市第一中学</x:v>
      </x:c>
      <x:c r="G376" s="12" t="n">
        <x:f>SUM(H376:J376)+K376</x:f>
        <x:v>345</x:v>
      </x:c>
      <x:c r="H376" s="12" t="n">
        <x:v>99</x:v>
      </x:c>
      <x:c r="I376" s="12" t="n">
        <x:v>118</x:v>
      </x:c>
      <x:c r="J376" s="12" t="n">
        <x:v>128</x:v>
      </x:c>
      <x:c r="K376" s="12" t="n">
        <x:f>IF(D376="A",5,0)</x:f>
        <x:v>0</x:v>
      </x:c>
    </x:row>
    <x:row r="377" ht="30" customHeight="1">
      <x:c r="A377" s="11" t="n">
        <x:f>RANK.EQ(G377,$G$2:$G$523,0)</x:f>
        <x:v>375</x:v>
      </x:c>
      <x:c r="B377" s="7" t="str">
        <x:v>JL-005</x:v>
      </x:c>
      <x:c r="C377" s="7" t="str">
        <x:v>JL</x:v>
      </x:c>
      <x:c r="D377" s="7" t="str">
        <x:v>A</x:v>
      </x:c>
      <x:c r="E377" s="8" t="str">
        <x:v>唐诗晴</x:v>
      </x:c>
      <x:c r="F377" s="10" t="str">
        <x:v>东北师范大学附属中学</x:v>
      </x:c>
      <x:c r="G377" s="12" t="n">
        <x:f>SUM(H377:J377)+K377</x:f>
        <x:v>345</x:v>
      </x:c>
      <x:c r="H377" s="12" t="n">
        <x:v>100</x:v>
      </x:c>
      <x:c r="I377" s="12" t="n">
        <x:v>138</x:v>
      </x:c>
      <x:c r="J377" s="12" t="n">
        <x:v>102</x:v>
      </x:c>
      <x:c r="K377" s="12" t="n">
        <x:f>IF(D377="A",5,0)</x:f>
        <x:v>5</x:v>
      </x:c>
    </x:row>
    <x:row r="378" ht="30" customHeight="1">
      <x:c r="A378" s="11" t="n">
        <x:f>RANK.EQ(G378,$G$2:$G$523,0)</x:f>
        <x:v>377</x:v>
      </x:c>
      <x:c r="B378" s="7" t="str">
        <x:v>JX-004</x:v>
      </x:c>
      <x:c r="C378" s="7" t="str">
        <x:v>JX</x:v>
      </x:c>
      <x:c r="D378" s="7" t="str">
        <x:v>A</x:v>
      </x:c>
      <x:c r="E378" s="8" t="str">
        <x:v>聂鸿杰</x:v>
      </x:c>
      <x:c r="F378" s="10" t="str">
        <x:v>赣州市文清外国语学校</x:v>
      </x:c>
      <x:c r="G378" s="12" t="n">
        <x:f>SUM(H378:J378)+K378</x:f>
        <x:v>344</x:v>
      </x:c>
      <x:c r="H378" s="12" t="n">
        <x:v>100</x:v>
      </x:c>
      <x:c r="I378" s="12" t="n">
        <x:v>107</x:v>
      </x:c>
      <x:c r="J378" s="12" t="n">
        <x:v>132</x:v>
      </x:c>
      <x:c r="K378" s="12" t="n">
        <x:f>IF(D378="A",5,0)</x:f>
        <x:v>5</x:v>
      </x:c>
    </x:row>
    <x:row r="379" ht="30" customHeight="1">
      <x:c r="A379" s="11" t="n">
        <x:f>RANK.EQ(G379,$G$2:$G$523,0)</x:f>
        <x:v>378</x:v>
      </x:c>
      <x:c r="B379" s="7" t="str">
        <x:v>JS-020</x:v>
      </x:c>
      <x:c r="C379" s="7" t="str">
        <x:v>JS</x:v>
      </x:c>
      <x:c r="D379" s="7" t="str">
        <x:v>C</x:v>
      </x:c>
      <x:c r="E379" s="8" t="str">
        <x:v>项承煦</x:v>
      </x:c>
      <x:c r="F379" s="10" t="str">
        <x:v>南京外国语学校</x:v>
      </x:c>
      <x:c r="G379" s="12" t="n">
        <x:f>SUM(H379:J379)+K379</x:f>
        <x:v>342</x:v>
      </x:c>
      <x:c r="H379" s="12" t="n">
        <x:v>100</x:v>
      </x:c>
      <x:c r="I379" s="12" t="n">
        <x:v>121</x:v>
      </x:c>
      <x:c r="J379" s="12" t="n">
        <x:v>121</x:v>
      </x:c>
      <x:c r="K379" s="12" t="n">
        <x:f>IF(D379="A",5,0)</x:f>
        <x:v>0</x:v>
      </x:c>
    </x:row>
    <x:row r="380" ht="30" customHeight="1">
      <x:c r="A380" s="11" t="n">
        <x:f>RANK.EQ(G380,$G$2:$G$523,0)</x:f>
        <x:v>379</x:v>
      </x:c>
      <x:c r="B380" s="7" t="str">
        <x:v>BJ-012</x:v>
      </x:c>
      <x:c r="C380" s="7" t="str">
        <x:v>BJ</x:v>
      </x:c>
      <x:c r="D380" s="7" t="str">
        <x:v>B</x:v>
      </x:c>
      <x:c r="E380" s="8" t="str">
        <x:v>傅九瑞</x:v>
      </x:c>
      <x:c r="F380" s="10" t="str">
        <x:v>北京师范大学附属实验中学</x:v>
      </x:c>
      <x:c r="G380" s="12" t="n">
        <x:f>SUM(H380:J380)+K380</x:f>
        <x:v>339</x:v>
      </x:c>
      <x:c r="H380" s="12" t="n">
        <x:v>100</x:v>
      </x:c>
      <x:c r="I380" s="12" t="n">
        <x:v>141</x:v>
      </x:c>
      <x:c r="J380" s="12" t="n">
        <x:v>98</x:v>
      </x:c>
      <x:c r="K380" s="12" t="n">
        <x:f>IF(D380="A",5,0)</x:f>
        <x:v>0</x:v>
      </x:c>
    </x:row>
    <x:row r="381" ht="30" customHeight="1">
      <x:c r="A381" s="11" t="n">
        <x:f>RANK.EQ(G381,$G$2:$G$523,0)</x:f>
        <x:v>379</x:v>
      </x:c>
      <x:c r="B381" s="7" t="str">
        <x:v>SX-004</x:v>
      </x:c>
      <x:c r="C381" s="7" t="str">
        <x:v>SX</x:v>
      </x:c>
      <x:c r="D381" s="7" t="str">
        <x:v>A</x:v>
      </x:c>
      <x:c r="E381" s="8" t="str">
        <x:v>姚宣羽</x:v>
      </x:c>
      <x:c r="F381" s="10" t="str">
        <x:v>运城市康杰中学</x:v>
      </x:c>
      <x:c r="G381" s="12" t="n">
        <x:f>SUM(H381:J381)+K381</x:f>
        <x:v>339</x:v>
      </x:c>
      <x:c r="H381" s="12" t="n">
        <x:v>100</x:v>
      </x:c>
      <x:c r="I381" s="12" t="n">
        <x:v>114</x:v>
      </x:c>
      <x:c r="J381" s="12" t="n">
        <x:v>120</x:v>
      </x:c>
      <x:c r="K381" s="12" t="n">
        <x:f>IF(D381="A",5,0)</x:f>
        <x:v>5</x:v>
      </x:c>
    </x:row>
    <x:row r="382" ht="30" customHeight="1">
      <x:c r="A382" s="11" t="n">
        <x:f>RANK.EQ(G382,$G$2:$G$523,0)</x:f>
        <x:v>381</x:v>
      </x:c>
      <x:c r="B382" s="7" t="str">
        <x:v>SC-023</x:v>
      </x:c>
      <x:c r="C382" s="7" t="str">
        <x:v>SC</x:v>
      </x:c>
      <x:c r="D382" s="7" t="str">
        <x:v>D</x:v>
      </x:c>
      <x:c r="E382" s="8" t="str">
        <x:v>王腾立</x:v>
      </x:c>
      <x:c r="F382" s="10" t="str">
        <x:v>成都市成华区嘉祥外国语高级中学</x:v>
      </x:c>
      <x:c r="G382" s="12" t="n">
        <x:f>SUM(H382:J382)+K382</x:f>
        <x:v>338</x:v>
      </x:c>
      <x:c r="H382" s="12" t="n">
        <x:v>100</x:v>
      </x:c>
      <x:c r="I382" s="12" t="n">
        <x:v>148</x:v>
      </x:c>
      <x:c r="J382" s="12" t="n">
        <x:v>90</x:v>
      </x:c>
      <x:c r="K382" s="12" t="n">
        <x:f>IF(D382="A",5,0)</x:f>
        <x:v>0</x:v>
      </x:c>
    </x:row>
    <x:row r="383" ht="30" customHeight="1">
      <x:c r="A383" s="11" t="n">
        <x:f>RANK.EQ(G383,$G$2:$G$523,0)</x:f>
        <x:v>382</x:v>
      </x:c>
      <x:c r="B383" s="7" t="str">
        <x:v>HL-006</x:v>
      </x:c>
      <x:c r="C383" s="7" t="str">
        <x:v>HL</x:v>
      </x:c>
      <x:c r="D383" s="7" t="str">
        <x:v>B</x:v>
      </x:c>
      <x:c r="E383" s="8" t="str">
        <x:v>赵天放</x:v>
      </x:c>
      <x:c r="F383" s="10" t="str">
        <x:v>大庆实验中学</x:v>
      </x:c>
      <x:c r="G383" s="12" t="n">
        <x:f>SUM(H383:J383)+K383</x:f>
        <x:v>336</x:v>
      </x:c>
      <x:c r="H383" s="12" t="n">
        <x:v>100</x:v>
      </x:c>
      <x:c r="I383" s="12" t="n">
        <x:v>166</x:v>
      </x:c>
      <x:c r="J383" s="12" t="n">
        <x:v>70</x:v>
      </x:c>
      <x:c r="K383" s="12" t="n">
        <x:f>IF(D383="A",5,0)</x:f>
        <x:v>0</x:v>
      </x:c>
    </x:row>
    <x:row r="384" ht="30" customHeight="1">
      <x:c r="A384" s="11" t="n">
        <x:f>RANK.EQ(G384,$G$2:$G$523,0)</x:f>
        <x:v>382</x:v>
      </x:c>
      <x:c r="B384" s="7" t="str">
        <x:v>SD-033</x:v>
      </x:c>
      <x:c r="C384" s="7" t="str">
        <x:v>SD</x:v>
      </x:c>
      <x:c r="D384" s="7" t="str">
        <x:v>D</x:v>
      </x:c>
      <x:c r="E384" s="8" t="str">
        <x:v>王珺淏</x:v>
      </x:c>
      <x:c r="F384" s="10" t="str">
        <x:v>烟台青华中学</x:v>
      </x:c>
      <x:c r="G384" s="12" t="n">
        <x:f>SUM(H384:J384)+K384</x:f>
        <x:v>336</x:v>
      </x:c>
      <x:c r="H384" s="12" t="n">
        <x:v>100</x:v>
      </x:c>
      <x:c r="I384" s="12" t="n">
        <x:v>168</x:v>
      </x:c>
      <x:c r="J384" s="12" t="n">
        <x:v>68</x:v>
      </x:c>
      <x:c r="K384" s="12" t="n">
        <x:f>IF(D384="A",5,0)</x:f>
        <x:v>0</x:v>
      </x:c>
    </x:row>
    <x:row r="385" ht="30" customHeight="1">
      <x:c r="A385" s="11" t="n">
        <x:f>RANK.EQ(G385,$G$2:$G$523,0)</x:f>
        <x:v>384</x:v>
      </x:c>
      <x:c r="B385" s="7" t="str">
        <x:v>CQ-026</x:v>
      </x:c>
      <x:c r="C385" s="7" t="str">
        <x:v>CQ</x:v>
      </x:c>
      <x:c r="D385" s="7" t="str">
        <x:v>D</x:v>
      </x:c>
      <x:c r="E385" s="8" t="str">
        <x:v>但未</x:v>
      </x:c>
      <x:c r="F385" s="10" t="str">
        <x:v>重庆市育才中学校</x:v>
      </x:c>
      <x:c r="G385" s="12" t="n">
        <x:f>SUM(H385:J385)+K385</x:f>
        <x:v>335</x:v>
      </x:c>
      <x:c r="H385" s="12" t="n">
        <x:v>100</x:v>
      </x:c>
      <x:c r="I385" s="12" t="n">
        <x:v>137</x:v>
      </x:c>
      <x:c r="J385" s="12" t="n">
        <x:v>98</x:v>
      </x:c>
      <x:c r="K385" s="12" t="n">
        <x:f>IF(D385="A",5,0)</x:f>
        <x:v>0</x:v>
      </x:c>
    </x:row>
    <x:row r="386" ht="30" customHeight="1">
      <x:c r="A386" s="11" t="n">
        <x:f>RANK.EQ(G386,$G$2:$G$523,0)</x:f>
        <x:v>385</x:v>
      </x:c>
      <x:c r="B386" s="7" t="str">
        <x:v>GD-036</x:v>
      </x:c>
      <x:c r="C386" s="7" t="str">
        <x:v>GD</x:v>
      </x:c>
      <x:c r="D386" s="7" t="str">
        <x:v>D</x:v>
      </x:c>
      <x:c r="E386" s="8" t="str">
        <x:v>李泓烨</x:v>
      </x:c>
      <x:c r="F386" s="10" t="str">
        <x:v>佛山市顺德区第一中学</x:v>
      </x:c>
      <x:c r="G386" s="12" t="n">
        <x:f>SUM(H386:J386)+K386</x:f>
        <x:v>334</x:v>
      </x:c>
      <x:c r="H386" s="12" t="n">
        <x:v>100</x:v>
      </x:c>
      <x:c r="I386" s="12" t="n">
        <x:v>136</x:v>
      </x:c>
      <x:c r="J386" s="12" t="n">
        <x:v>98</x:v>
      </x:c>
      <x:c r="K386" s="12" t="n">
        <x:f>IF(D386="A",5,0)</x:f>
        <x:v>0</x:v>
      </x:c>
    </x:row>
    <x:row r="387" ht="30" customHeight="1">
      <x:c r="A387" s="11" t="n">
        <x:f>RANK.EQ(G387,$G$2:$G$523,0)</x:f>
        <x:v>385</x:v>
      </x:c>
      <x:c r="B387" s="7" t="str">
        <x:v>SD-039</x:v>
      </x:c>
      <x:c r="C387" s="7" t="str">
        <x:v>SD</x:v>
      </x:c>
      <x:c r="D387" s="7" t="str">
        <x:v>D</x:v>
      </x:c>
      <x:c r="E387" s="8" t="str">
        <x:v>孙亦泽</x:v>
      </x:c>
      <x:c r="F387" s="10" t="str">
        <x:v>山东省烟台第二中学</x:v>
      </x:c>
      <x:c r="G387" s="12" t="n">
        <x:f>SUM(H387:J387)+K387</x:f>
        <x:v>334</x:v>
      </x:c>
      <x:c r="H387" s="12" t="n">
        <x:v>100</x:v>
      </x:c>
      <x:c r="I387" s="12" t="n">
        <x:v>140</x:v>
      </x:c>
      <x:c r="J387" s="12" t="n">
        <x:v>94</x:v>
      </x:c>
      <x:c r="K387" s="12" t="n">
        <x:f>IF(D387="A",5,0)</x:f>
        <x:v>0</x:v>
      </x:c>
    </x:row>
    <x:row r="388" ht="30" customHeight="1">
      <x:c r="A388" s="11" t="n">
        <x:f>RANK.EQ(G388,$G$2:$G$523,0)</x:f>
        <x:v>387</x:v>
      </x:c>
      <x:c r="B388" s="7" t="str">
        <x:v>SC-016</x:v>
      </x:c>
      <x:c r="C388" s="7" t="str">
        <x:v>SC</x:v>
      </x:c>
      <x:c r="D388" s="7" t="str">
        <x:v>D</x:v>
      </x:c>
      <x:c r="E388" s="8" t="str">
        <x:v>陈霖瑄</x:v>
      </x:c>
      <x:c r="F388" s="10" t="str">
        <x:v>成都市锦江区嘉祥外国语高级中学</x:v>
      </x:c>
      <x:c r="G388" s="12" t="n">
        <x:f>SUM(H388:J388)+K388</x:f>
        <x:v>333</x:v>
      </x:c>
      <x:c r="H388" s="12" t="n">
        <x:v>100</x:v>
      </x:c>
      <x:c r="I388" s="12" t="n">
        <x:v>111</x:v>
      </x:c>
      <x:c r="J388" s="12" t="n">
        <x:v>122</x:v>
      </x:c>
      <x:c r="K388" s="12" t="n">
        <x:f>IF(D388="A",5,0)</x:f>
        <x:v>0</x:v>
      </x:c>
    </x:row>
    <x:row r="389" ht="30" customHeight="1">
      <x:c r="A389" s="11" t="n">
        <x:f>RANK.EQ(G389,$G$2:$G$523,0)</x:f>
        <x:v>388</x:v>
      </x:c>
      <x:c r="B389" s="7" t="str">
        <x:v>FJ-021</x:v>
      </x:c>
      <x:c r="C389" s="7" t="str">
        <x:v>FJ</x:v>
      </x:c>
      <x:c r="D389" s="7" t="str">
        <x:v>D</x:v>
      </x:c>
      <x:c r="E389" s="8" t="str">
        <x:v>黄嘉文</x:v>
      </x:c>
      <x:c r="F389" s="10" t="str">
        <x:v>厦门市槟榔中学</x:v>
      </x:c>
      <x:c r="G389" s="12" t="n">
        <x:f>SUM(H389:J389)+K389</x:f>
        <x:v>332</x:v>
      </x:c>
      <x:c r="H389" s="12" t="n">
        <x:v>99</x:v>
      </x:c>
      <x:c r="I389" s="12" t="n">
        <x:v>135</x:v>
      </x:c>
      <x:c r="J389" s="12" t="n">
        <x:v>98</x:v>
      </x:c>
      <x:c r="K389" s="12" t="n">
        <x:f>IF(D389="A",5,0)</x:f>
        <x:v>0</x:v>
      </x:c>
    </x:row>
    <x:row r="390" ht="30" customHeight="1">
      <x:c r="A390" s="11" t="n">
        <x:f>RANK.EQ(G390,$G$2:$G$523,0)</x:f>
        <x:v>389</x:v>
      </x:c>
      <x:c r="B390" s="7" t="str">
        <x:v>SH-019</x:v>
      </x:c>
      <x:c r="C390" s="7" t="str">
        <x:v>SH</x:v>
      </x:c>
      <x:c r="D390" s="7" t="str">
        <x:v>D</x:v>
      </x:c>
      <x:c r="E390" s="8" t="str">
        <x:v>包丞泽</x:v>
      </x:c>
      <x:c r="F390" s="10" t="str">
        <x:v>上海市曹杨第二中学</x:v>
      </x:c>
      <x:c r="G390" s="12" t="n">
        <x:f>SUM(H390:J390)+K390</x:f>
        <x:v>327</x:v>
      </x:c>
      <x:c r="H390" s="12" t="n">
        <x:v>100</x:v>
      </x:c>
      <x:c r="I390" s="12" t="n">
        <x:v>152</x:v>
      </x:c>
      <x:c r="J390" s="12" t="n">
        <x:v>75</x:v>
      </x:c>
      <x:c r="K390" s="12" t="n">
        <x:f>IF(D390="A",5,0)</x:f>
        <x:v>0</x:v>
      </x:c>
    </x:row>
    <x:row r="391" ht="30" customHeight="1">
      <x:c r="A391" s="11" t="n">
        <x:f>RANK.EQ(G391,$G$2:$G$523,0)</x:f>
        <x:v>390</x:v>
      </x:c>
      <x:c r="B391" s="7" t="str">
        <x:v>HA-007</x:v>
      </x:c>
      <x:c r="C391" s="7" t="str">
        <x:v>HA</x:v>
      </x:c>
      <x:c r="D391" s="7" t="str">
        <x:v>B</x:v>
      </x:c>
      <x:c r="E391" s="8" t="str">
        <x:v>单一凯</x:v>
      </x:c>
      <x:c r="F391" s="10" t="str">
        <x:v>郑州市第一中学</x:v>
      </x:c>
      <x:c r="G391" s="12" t="n">
        <x:f>SUM(H391:J391)+K391</x:f>
        <x:v>325</x:v>
      </x:c>
      <x:c r="H391" s="12" t="n">
        <x:v>100</x:v>
      </x:c>
      <x:c r="I391" s="12" t="n">
        <x:v>97</x:v>
      </x:c>
      <x:c r="J391" s="12" t="n">
        <x:v>128</x:v>
      </x:c>
      <x:c r="K391" s="12" t="n">
        <x:f>IF(D391="A",5,0)</x:f>
        <x:v>0</x:v>
      </x:c>
    </x:row>
    <x:row r="392" ht="30" customHeight="1">
      <x:c r="A392" s="11" t="n">
        <x:f>RANK.EQ(G392,$G$2:$G$523,0)</x:f>
        <x:v>390</x:v>
      </x:c>
      <x:c r="B392" s="7" t="str">
        <x:v>HK-003</x:v>
      </x:c>
      <x:c r="C392" s="7" t="str">
        <x:v>HK</x:v>
      </x:c>
      <x:c r="D392" s="7" t="str">
        <x:v>A</x:v>
      </x:c>
      <x:c r="E392" s="8" t="str">
        <x:v>何信毅</x:v>
      </x:c>
      <x:c r="F392" s="10" t="str">
        <x:v>拔萃男書院</x:v>
      </x:c>
      <x:c r="G392" s="12" t="n">
        <x:f>SUM(H392:J392)+K392</x:f>
        <x:v>325</x:v>
      </x:c>
      <x:c r="H392" s="12" t="n">
        <x:v>99</x:v>
      </x:c>
      <x:c r="I392" s="12" t="n">
        <x:v>113</x:v>
      </x:c>
      <x:c r="J392" s="12" t="n">
        <x:v>108</x:v>
      </x:c>
      <x:c r="K392" s="12" t="n">
        <x:f>IF(D392="A",5,0)</x:f>
        <x:v>5</x:v>
      </x:c>
    </x:row>
    <x:row r="393" ht="30" customHeight="1">
      <x:c r="A393" s="11" t="n">
        <x:f>RANK.EQ(G393,$G$2:$G$523,0)</x:f>
        <x:v>392</x:v>
      </x:c>
      <x:c r="B393" s="7" t="str">
        <x:v>BJ-017</x:v>
      </x:c>
      <x:c r="C393" s="7" t="str">
        <x:v>BJ</x:v>
      </x:c>
      <x:c r="D393" s="7" t="str">
        <x:v>B</x:v>
      </x:c>
      <x:c r="E393" s="8" t="str">
        <x:v>万俊杰</x:v>
      </x:c>
      <x:c r="F393" s="10" t="str">
        <x:v>北京市第一〇一中学</x:v>
      </x:c>
      <x:c r="G393" s="12" t="n">
        <x:f>SUM(H393:J393)+K393</x:f>
        <x:v>324</x:v>
      </x:c>
      <x:c r="H393" s="12" t="n">
        <x:v>100</x:v>
      </x:c>
      <x:c r="I393" s="12" t="n">
        <x:v>117</x:v>
      </x:c>
      <x:c r="J393" s="12" t="n">
        <x:v>107</x:v>
      </x:c>
      <x:c r="K393" s="12" t="n">
        <x:f>IF(D393="A",5,0)</x:f>
        <x:v>0</x:v>
      </x:c>
    </x:row>
    <x:row r="394" ht="30" customHeight="1">
      <x:c r="A394" s="11" t="n">
        <x:f>RANK.EQ(G394,$G$2:$G$523,0)</x:f>
        <x:v>392</x:v>
      </x:c>
      <x:c r="B394" s="7" t="str">
        <x:v>TJ-001</x:v>
      </x:c>
      <x:c r="C394" s="7" t="str">
        <x:v>TJ</x:v>
      </x:c>
      <x:c r="D394" s="7" t="str">
        <x:v>A</x:v>
      </x:c>
      <x:c r="E394" s="8" t="str">
        <x:v>韩政言</x:v>
      </x:c>
      <x:c r="F394" s="10" t="str">
        <x:v>天津市第一中学</x:v>
      </x:c>
      <x:c r="G394" s="12" t="n">
        <x:f>SUM(H394:J394)+K394</x:f>
        <x:v>324</x:v>
      </x:c>
      <x:c r="H394" s="12" t="n">
        <x:v>100</x:v>
      </x:c>
      <x:c r="I394" s="12" t="n">
        <x:v>125</x:v>
      </x:c>
      <x:c r="J394" s="12" t="n">
        <x:v>94</x:v>
      </x:c>
      <x:c r="K394" s="12" t="n">
        <x:f>IF(D394="A",5,0)</x:f>
        <x:v>5</x:v>
      </x:c>
    </x:row>
    <x:row r="395" ht="30" customHeight="1">
      <x:c r="A395" s="11" t="n">
        <x:f>RANK.EQ(G395,$G$2:$G$523,0)</x:f>
        <x:v>394</x:v>
      </x:c>
      <x:c r="B395" s="7" t="str">
        <x:v>JL-008</x:v>
      </x:c>
      <x:c r="C395" s="7" t="str">
        <x:v>JL</x:v>
      </x:c>
      <x:c r="D395" s="7" t="str">
        <x:v>D</x:v>
      </x:c>
      <x:c r="E395" s="8" t="str">
        <x:v>王诏平</x:v>
      </x:c>
      <x:c r="F395" s="10" t="str">
        <x:v>长春净月高新技术产业开发区华岳学校</x:v>
      </x:c>
      <x:c r="G395" s="12" t="n">
        <x:f>SUM(H395:J395)+K395</x:f>
        <x:v>323</x:v>
      </x:c>
      <x:c r="H395" s="12" t="n">
        <x:v>99</x:v>
      </x:c>
      <x:c r="I395" s="12" t="n">
        <x:v>130</x:v>
      </x:c>
      <x:c r="J395" s="12" t="n">
        <x:v>94</x:v>
      </x:c>
      <x:c r="K395" s="12" t="n">
        <x:f>IF(D395="A",5,0)</x:f>
        <x:v>0</x:v>
      </x:c>
    </x:row>
    <x:row r="396" ht="30" customHeight="1">
      <x:c r="A396" s="11" t="n">
        <x:f>RANK.EQ(G396,$G$2:$G$523,0)</x:f>
        <x:v>395</x:v>
      </x:c>
      <x:c r="B396" s="7" t="str">
        <x:v>JS-024</x:v>
      </x:c>
      <x:c r="C396" s="7" t="str">
        <x:v>JS</x:v>
      </x:c>
      <x:c r="D396" s="7" t="str">
        <x:v>D</x:v>
      </x:c>
      <x:c r="E396" s="8" t="str">
        <x:v>陈墨涵</x:v>
      </x:c>
      <x:c r="F396" s="10" t="str">
        <x:v>南京市第一中学</x:v>
      </x:c>
      <x:c r="G396" s="12" t="n">
        <x:f>SUM(H396:J396)+K396</x:f>
        <x:v>322</x:v>
      </x:c>
      <x:c r="H396" s="12" t="n">
        <x:v>100</x:v>
      </x:c>
      <x:c r="I396" s="12" t="n">
        <x:v>127</x:v>
      </x:c>
      <x:c r="J396" s="12" t="n">
        <x:v>95</x:v>
      </x:c>
      <x:c r="K396" s="12" t="n">
        <x:f>IF(D396="A",5,0)</x:f>
        <x:v>0</x:v>
      </x:c>
    </x:row>
    <x:row r="397" ht="30" customHeight="1">
      <x:c r="A397" s="11" t="n">
        <x:f>RANK.EQ(G397,$G$2:$G$523,0)</x:f>
        <x:v>395</x:v>
      </x:c>
      <x:c r="B397" s="7" t="str">
        <x:v>SD-022</x:v>
      </x:c>
      <x:c r="C397" s="7" t="str">
        <x:v>SD</x:v>
      </x:c>
      <x:c r="D397" s="7" t="str">
        <x:v>B</x:v>
      </x:c>
      <x:c r="E397" s="8" t="str">
        <x:v>刘国恩</x:v>
      </x:c>
      <x:c r="F397" s="10" t="str">
        <x:v>山东省平邑第一中学</x:v>
      </x:c>
      <x:c r="G397" s="12" t="n">
        <x:f>SUM(H397:J397)+K397</x:f>
        <x:v>322</x:v>
      </x:c>
      <x:c r="H397" s="12" t="n">
        <x:v>100</x:v>
      </x:c>
      <x:c r="I397" s="12" t="n">
        <x:v>122</x:v>
      </x:c>
      <x:c r="J397" s="12" t="n">
        <x:v>100</x:v>
      </x:c>
      <x:c r="K397" s="12" t="n">
        <x:f>IF(D397="A",5,0)</x:f>
        <x:v>0</x:v>
      </x:c>
    </x:row>
    <x:row r="398" ht="30" customHeight="1">
      <x:c r="A398" s="11" t="n">
        <x:f>RANK.EQ(G398,$G$2:$G$523,0)</x:f>
        <x:v>397</x:v>
      </x:c>
      <x:c r="B398" s="7" t="str">
        <x:v>ZJ-035</x:v>
      </x:c>
      <x:c r="C398" s="7" t="str">
        <x:v>ZJ</x:v>
      </x:c>
      <x:c r="D398" s="7" t="str">
        <x:v>D</x:v>
      </x:c>
      <x:c r="E398" s="8" t="str">
        <x:v>吴一凡</x:v>
      </x:c>
      <x:c r="F398" s="10" t="str">
        <x:v>金华市新东方双语学校</x:v>
      </x:c>
      <x:c r="G398" s="12" t="n">
        <x:f>SUM(H398:J398)+K398</x:f>
        <x:v>319</x:v>
      </x:c>
      <x:c r="H398" s="12" t="n">
        <x:v>98</x:v>
      </x:c>
      <x:c r="I398" s="12" t="n">
        <x:v>131</x:v>
      </x:c>
      <x:c r="J398" s="12" t="n">
        <x:v>90</x:v>
      </x:c>
      <x:c r="K398" s="12" t="n">
        <x:f>IF(D398="A",5,0)</x:f>
        <x:v>0</x:v>
      </x:c>
    </x:row>
    <x:row r="399" ht="30" customHeight="1">
      <x:c r="A399" s="11" t="n">
        <x:f>RANK.EQ(G399,$G$2:$G$523,0)</x:f>
        <x:v>398</x:v>
      </x:c>
      <x:c r="B399" s="7" t="str">
        <x:v>CQ-005</x:v>
      </x:c>
      <x:c r="C399" s="7" t="str">
        <x:v>CQ</x:v>
      </x:c>
      <x:c r="D399" s="7" t="str">
        <x:v>A</x:v>
      </x:c>
      <x:c r="E399" s="8" t="str">
        <x:v>葛芊妤</x:v>
      </x:c>
      <x:c r="F399" s="10" t="str">
        <x:v>重庆市巴蜀中学校</x:v>
      </x:c>
      <x:c r="G399" s="12" t="n">
        <x:f>SUM(H399:J399)+K399</x:f>
        <x:v>315</x:v>
      </x:c>
      <x:c r="H399" s="12" t="n">
        <x:v>100</x:v>
      </x:c>
      <x:c r="I399" s="12" t="n">
        <x:v>95</x:v>
      </x:c>
      <x:c r="J399" s="12" t="n">
        <x:v>115</x:v>
      </x:c>
      <x:c r="K399" s="12" t="n">
        <x:f>IF(D399="A",5,0)</x:f>
        <x:v>5</x:v>
      </x:c>
    </x:row>
    <x:row r="400" ht="30" customHeight="1">
      <x:c r="A400" s="11" t="n">
        <x:f>RANK.EQ(G400,$G$2:$G$523,0)</x:f>
        <x:v>399</x:v>
      </x:c>
      <x:c r="B400" s="7" t="str">
        <x:v>HN-010</x:v>
      </x:c>
      <x:c r="C400" s="7" t="str">
        <x:v>HN</x:v>
      </x:c>
      <x:c r="D400" s="7" t="str">
        <x:v>B</x:v>
      </x:c>
      <x:c r="E400" s="8" t="str">
        <x:v>陈祉亦</x:v>
      </x:c>
      <x:c r="F400" s="10" t="str">
        <x:v>湖南师范大学附属中学</x:v>
      </x:c>
      <x:c r="G400" s="12" t="n">
        <x:f>SUM(H400:J400)+K400</x:f>
        <x:v>314</x:v>
      </x:c>
      <x:c r="H400" s="12" t="n">
        <x:v>100</x:v>
      </x:c>
      <x:c r="I400" s="12" t="n">
        <x:v>124</x:v>
      </x:c>
      <x:c r="J400" s="12" t="n">
        <x:v>90</x:v>
      </x:c>
      <x:c r="K400" s="12" t="n">
        <x:f>IF(D400="A",5,0)</x:f>
        <x:v>0</x:v>
      </x:c>
    </x:row>
    <x:row r="401" ht="30" customHeight="1">
      <x:c r="A401" s="11" t="n">
        <x:f>RANK.EQ(G401,$G$2:$G$523,0)</x:f>
        <x:v>400</x:v>
      </x:c>
      <x:c r="B401" s="7" t="str">
        <x:v>SD-026</x:v>
      </x:c>
      <x:c r="C401" s="7" t="str">
        <x:v>SD</x:v>
      </x:c>
      <x:c r="D401" s="7" t="str">
        <x:v>D</x:v>
      </x:c>
      <x:c r="E401" s="8" t="str">
        <x:v>兰佳睿</x:v>
      </x:c>
      <x:c r="F401" s="10" t="str">
        <x:v>崂山区海尔路学校</x:v>
      </x:c>
      <x:c r="G401" s="12" t="n">
        <x:f>SUM(H401:J401)+K401</x:f>
        <x:v>313</x:v>
      </x:c>
      <x:c r="H401" s="12" t="n">
        <x:v>100</x:v>
      </x:c>
      <x:c r="I401" s="12" t="n">
        <x:v>98</x:v>
      </x:c>
      <x:c r="J401" s="12" t="n">
        <x:v>115</x:v>
      </x:c>
      <x:c r="K401" s="12" t="n">
        <x:f>IF(D401="A",5,0)</x:f>
        <x:v>0</x:v>
      </x:c>
    </x:row>
    <x:row r="402" ht="30" customHeight="1">
      <x:c r="A402" s="11" t="n">
        <x:f>RANK.EQ(G402,$G$2:$G$523,0)</x:f>
        <x:v>400</x:v>
      </x:c>
      <x:c r="B402" s="7" t="str">
        <x:v>SD-030</x:v>
      </x:c>
      <x:c r="C402" s="7" t="str">
        <x:v>SD</x:v>
      </x:c>
      <x:c r="D402" s="7" t="str">
        <x:v>D</x:v>
      </x:c>
      <x:c r="E402" s="8" t="str">
        <x:v>柳默浓</x:v>
      </x:c>
      <x:c r="F402" s="10" t="str">
        <x:v>山东省潍坊第一中学</x:v>
      </x:c>
      <x:c r="G402" s="12" t="n">
        <x:f>SUM(H402:J402)+K402</x:f>
        <x:v>313</x:v>
      </x:c>
      <x:c r="H402" s="12" t="n">
        <x:v>100</x:v>
      </x:c>
      <x:c r="I402" s="12" t="n">
        <x:v>130</x:v>
      </x:c>
      <x:c r="J402" s="12" t="n">
        <x:v>83</x:v>
      </x:c>
      <x:c r="K402" s="12" t="n">
        <x:f>IF(D402="A",5,0)</x:f>
        <x:v>0</x:v>
      </x:c>
    </x:row>
    <x:row r="403" ht="30" customHeight="1">
      <x:c r="A403" s="11" t="n">
        <x:f>RANK.EQ(G403,$G$2:$G$523,0)</x:f>
        <x:v>402</x:v>
      </x:c>
      <x:c r="B403" s="7" t="str">
        <x:v>JS-026</x:v>
      </x:c>
      <x:c r="C403" s="7" t="str">
        <x:v>JS</x:v>
      </x:c>
      <x:c r="D403" s="7" t="str">
        <x:v>D</x:v>
      </x:c>
      <x:c r="E403" s="8" t="str">
        <x:v>赵浩然</x:v>
      </x:c>
      <x:c r="F403" s="10" t="str">
        <x:v>南京市金陵河西学校</x:v>
      </x:c>
      <x:c r="G403" s="12" t="n">
        <x:f>SUM(H403:J403)+K403</x:f>
        <x:v>312</x:v>
      </x:c>
      <x:c r="H403" s="12" t="n">
        <x:v>99</x:v>
      </x:c>
      <x:c r="I403" s="12" t="n">
        <x:v>113</x:v>
      </x:c>
      <x:c r="J403" s="12" t="n">
        <x:v>100</x:v>
      </x:c>
      <x:c r="K403" s="12" t="n">
        <x:f>IF(D403="A",5,0)</x:f>
        <x:v>0</x:v>
      </x:c>
    </x:row>
    <x:row r="404" ht="30" customHeight="1">
      <x:c r="A404" s="11" t="n">
        <x:f>RANK.EQ(G404,$G$2:$G$523,0)</x:f>
        <x:v>403</x:v>
      </x:c>
      <x:c r="B404" s="7" t="str">
        <x:v>SX-003</x:v>
      </x:c>
      <x:c r="C404" s="7" t="str">
        <x:v>SX</x:v>
      </x:c>
      <x:c r="D404" s="7" t="str">
        <x:v>A</x:v>
      </x:c>
      <x:c r="E404" s="8" t="str">
        <x:v>李雨泽</x:v>
      </x:c>
      <x:c r="F404" s="10" t="str">
        <x:v>太原市第五中学校</x:v>
      </x:c>
      <x:c r="G404" s="12" t="n">
        <x:f>SUM(H404:J404)+K404</x:f>
        <x:v>311</x:v>
      </x:c>
      <x:c r="H404" s="12" t="n">
        <x:v>100</x:v>
      </x:c>
      <x:c r="I404" s="12" t="n">
        <x:v>156</x:v>
      </x:c>
      <x:c r="J404" s="12" t="n">
        <x:v>50</x:v>
      </x:c>
      <x:c r="K404" s="12" t="n">
        <x:f>IF(D404="A",5,0)</x:f>
        <x:v>5</x:v>
      </x:c>
    </x:row>
    <x:row r="405" ht="30" customHeight="1">
      <x:c r="A405" s="11" t="n">
        <x:f>RANK.EQ(G405,$G$2:$G$523,0)</x:f>
        <x:v>404</x:v>
      </x:c>
      <x:c r="B405" s="7" t="str">
        <x:v>SC-015</x:v>
      </x:c>
      <x:c r="C405" s="7" t="str">
        <x:v>SC</x:v>
      </x:c>
      <x:c r="D405" s="7" t="str">
        <x:v>D</x:v>
      </x:c>
      <x:c r="E405" s="8" t="str">
        <x:v>陈骏贤</x:v>
      </x:c>
      <x:c r="F405" s="10" t="str">
        <x:v>成都市锦江区嘉祥外国语学校</x:v>
      </x:c>
      <x:c r="G405" s="12" t="n">
        <x:f>SUM(H405:J405)+K405</x:f>
        <x:v>308</x:v>
      </x:c>
      <x:c r="H405" s="12" t="n">
        <x:v>100</x:v>
      </x:c>
      <x:c r="I405" s="12" t="n">
        <x:v>118</x:v>
      </x:c>
      <x:c r="J405" s="12" t="n">
        <x:v>90</x:v>
      </x:c>
      <x:c r="K405" s="12" t="n">
        <x:f>IF(D405="A",5,0)</x:f>
        <x:v>0</x:v>
      </x:c>
    </x:row>
    <x:row r="406" ht="30" customHeight="1">
      <x:c r="A406" s="11" t="n">
        <x:f>RANK.EQ(G406,$G$2:$G$523,0)</x:f>
        <x:v>404</x:v>
      </x:c>
      <x:c r="B406" s="7" t="str">
        <x:v>ZJ-003</x:v>
      </x:c>
      <x:c r="C406" s="7" t="str">
        <x:v>ZJ</x:v>
      </x:c>
      <x:c r="D406" s="7" t="str">
        <x:v>A</x:v>
      </x:c>
      <x:c r="E406" s="8" t="str">
        <x:v>王冠龛</x:v>
      </x:c>
      <x:c r="F406" s="10" t="str">
        <x:v>宁波市镇海蛟川书院</x:v>
      </x:c>
      <x:c r="G406" s="12" t="n">
        <x:f>SUM(H406:J406)+K406</x:f>
        <x:v>308</x:v>
      </x:c>
      <x:c r="H406" s="12" t="n">
        <x:v>100</x:v>
      </x:c>
      <x:c r="I406" s="12" t="n">
        <x:v>113</x:v>
      </x:c>
      <x:c r="J406" s="12" t="n">
        <x:v>90</x:v>
      </x:c>
      <x:c r="K406" s="12" t="n">
        <x:f>IF(D406="A",5,0)</x:f>
        <x:v>5</x:v>
      </x:c>
    </x:row>
    <x:row r="407" ht="30" customHeight="1">
      <x:c r="A407" s="11" t="n">
        <x:f>RANK.EQ(G407,$G$2:$G$523,0)</x:f>
        <x:v>406</x:v>
      </x:c>
      <x:c r="B407" s="7" t="str">
        <x:v>TJ-008</x:v>
      </x:c>
      <x:c r="C407" s="7" t="str">
        <x:v>TJ</x:v>
      </x:c>
      <x:c r="D407" s="7" t="str">
        <x:v>E</x:v>
      </x:c>
      <x:c r="E407" s="8" t="str">
        <x:v>杜俊睿</x:v>
      </x:c>
      <x:c r="F407" s="10" t="str">
        <x:v>天津英华实验学校</x:v>
      </x:c>
      <x:c r="G407" s="12" t="n">
        <x:f>SUM(H407:J407)+K407</x:f>
        <x:v>307</x:v>
      </x:c>
      <x:c r="H407" s="12" t="n">
        <x:v>99</x:v>
      </x:c>
      <x:c r="I407" s="12" t="n">
        <x:v>110</x:v>
      </x:c>
      <x:c r="J407" s="12" t="n">
        <x:v>98</x:v>
      </x:c>
      <x:c r="K407" s="12" t="n">
        <x:f>IF(D407="A",5,0)</x:f>
        <x:v>0</x:v>
      </x:c>
    </x:row>
    <x:row r="408" ht="30" customHeight="1">
      <x:c r="A408" s="11" t="n">
        <x:f>RANK.EQ(G408,$G$2:$G$523,0)</x:f>
        <x:v>407</x:v>
      </x:c>
      <x:c r="B408" s="7" t="str">
        <x:v>HL-008</x:v>
      </x:c>
      <x:c r="C408" s="7" t="str">
        <x:v>HL</x:v>
      </x:c>
      <x:c r="D408" s="7" t="str">
        <x:v>D</x:v>
      </x:c>
      <x:c r="E408" s="8" t="str">
        <x:v>刘勇佚</x:v>
      </x:c>
      <x:c r="F408" s="10" t="str">
        <x:v>哈尔滨工业大学附属中学校</x:v>
      </x:c>
      <x:c r="G408" s="12" t="n">
        <x:f>SUM(H408:J408)+K408</x:f>
        <x:v>305</x:v>
      </x:c>
      <x:c r="H408" s="12" t="n">
        <x:v>99</x:v>
      </x:c>
      <x:c r="I408" s="12" t="n">
        <x:v>106</x:v>
      </x:c>
      <x:c r="J408" s="12" t="n">
        <x:v>100</x:v>
      </x:c>
      <x:c r="K408" s="12" t="n">
        <x:f>IF(D408="A",5,0)</x:f>
        <x:v>0</x:v>
      </x:c>
    </x:row>
    <x:row r="409" ht="30" customHeight="1">
      <x:c r="A409" s="11" t="n">
        <x:f>RANK.EQ(G409,$G$2:$G$523,0)</x:f>
        <x:v>408</x:v>
      </x:c>
      <x:c r="B409" s="7" t="str">
        <x:v>BJ-021</x:v>
      </x:c>
      <x:c r="C409" s="7" t="str">
        <x:v>BJ</x:v>
      </x:c>
      <x:c r="D409" s="7" t="str">
        <x:v>D</x:v>
      </x:c>
      <x:c r="E409" s="8" t="str">
        <x:v>岳双泽</x:v>
      </x:c>
      <x:c r="F409" s="10" t="str">
        <x:v>北京市十一学校</x:v>
      </x:c>
      <x:c r="G409" s="12" t="n">
        <x:f>SUM(H409:J409)+K409</x:f>
        <x:v>303</x:v>
      </x:c>
      <x:c r="H409" s="12" t="n">
        <x:v>99</x:v>
      </x:c>
      <x:c r="I409" s="12" t="n">
        <x:v>106</x:v>
      </x:c>
      <x:c r="J409" s="12" t="n">
        <x:v>98</x:v>
      </x:c>
      <x:c r="K409" s="12" t="n">
        <x:f>IF(D409="A",5,0)</x:f>
        <x:v>0</x:v>
      </x:c>
    </x:row>
    <x:row r="410" ht="30" customHeight="1">
      <x:c r="A410" s="11" t="n">
        <x:f>RANK.EQ(G410,$G$2:$G$523,0)</x:f>
        <x:v>408</x:v>
      </x:c>
      <x:c r="B410" s="7" t="str">
        <x:v>CQ-019</x:v>
      </x:c>
      <x:c r="C410" s="7" t="str">
        <x:v>CQ</x:v>
      </x:c>
      <x:c r="D410" s="7" t="str">
        <x:v>D</x:v>
      </x:c>
      <x:c r="E410" s="8" t="str">
        <x:v>许悦潭</x:v>
      </x:c>
      <x:c r="F410" s="10" t="str">
        <x:v>重庆八中宏帆中学校</x:v>
      </x:c>
      <x:c r="G410" s="12" t="n">
        <x:f>SUM(H410:J410)+K410</x:f>
        <x:v>303</x:v>
      </x:c>
      <x:c r="H410" s="12" t="n">
        <x:v>100</x:v>
      </x:c>
      <x:c r="I410" s="12" t="n">
        <x:v>83</x:v>
      </x:c>
      <x:c r="J410" s="12" t="n">
        <x:v>120</x:v>
      </x:c>
      <x:c r="K410" s="12" t="n">
        <x:f>IF(D410="A",5,0)</x:f>
        <x:v>0</x:v>
      </x:c>
    </x:row>
    <x:row r="411" ht="30" customHeight="1">
      <x:c r="A411" s="11" t="n">
        <x:f>RANK.EQ(G411,$G$2:$G$523,0)</x:f>
        <x:v>408</x:v>
      </x:c>
      <x:c r="B411" s="7" t="str">
        <x:v>SX-006</x:v>
      </x:c>
      <x:c r="C411" s="7" t="str">
        <x:v>SX</x:v>
      </x:c>
      <x:c r="D411" s="7" t="str">
        <x:v>B</x:v>
      </x:c>
      <x:c r="E411" s="8" t="str">
        <x:v>温皓程</x:v>
      </x:c>
      <x:c r="F411" s="10" t="str">
        <x:v>太原市常青藤中学校</x:v>
      </x:c>
      <x:c r="G411" s="12" t="n">
        <x:f>SUM(H411:J411)+K411</x:f>
        <x:v>303</x:v>
      </x:c>
      <x:c r="H411" s="12" t="n">
        <x:v>100</x:v>
      </x:c>
      <x:c r="I411" s="12" t="n">
        <x:v>105</x:v>
      </x:c>
      <x:c r="J411" s="12" t="n">
        <x:v>98</x:v>
      </x:c>
      <x:c r="K411" s="12" t="n">
        <x:f>IF(D411="A",5,0)</x:f>
        <x:v>0</x:v>
      </x:c>
    </x:row>
    <x:row r="412" ht="30" customHeight="1">
      <x:c r="A412" s="11" t="n">
        <x:f>RANK.EQ(G412,$G$2:$G$523,0)</x:f>
        <x:v>408</x:v>
      </x:c>
      <x:c r="B412" s="7" t="str">
        <x:v>TJ-006</x:v>
      </x:c>
      <x:c r="C412" s="7" t="str">
        <x:v>TJ</x:v>
      </x:c>
      <x:c r="D412" s="7" t="str">
        <x:v>B</x:v>
      </x:c>
      <x:c r="E412" s="8" t="str">
        <x:v>丁敬轩</x:v>
      </x:c>
      <x:c r="F412" s="10" t="str">
        <x:v>天津市第一中学</x:v>
      </x:c>
      <x:c r="G412" s="12" t="n">
        <x:f>SUM(H412:J412)+K412</x:f>
        <x:v>303</x:v>
      </x:c>
      <x:c r="H412" s="12" t="n">
        <x:v>100</x:v>
      </x:c>
      <x:c r="I412" s="12" t="n">
        <x:v>113</x:v>
      </x:c>
      <x:c r="J412" s="12" t="n">
        <x:v>90</x:v>
      </x:c>
      <x:c r="K412" s="12" t="n">
        <x:f>IF(D412="A",5,0)</x:f>
        <x:v>0</x:v>
      </x:c>
    </x:row>
    <x:row r="413" ht="30" customHeight="1">
      <x:c r="A413" s="11" t="n">
        <x:f>RANK.EQ(G413,$G$2:$G$523,0)</x:f>
        <x:v>412</x:v>
      </x:c>
      <x:c r="B413" s="7" t="str">
        <x:v>HN-021</x:v>
      </x:c>
      <x:c r="C413" s="7" t="str">
        <x:v>HN</x:v>
      </x:c>
      <x:c r="D413" s="7" t="str">
        <x:v>D</x:v>
      </x:c>
      <x:c r="E413" s="8" t="str">
        <x:v>李睿雄</x:v>
      </x:c>
      <x:c r="F413" s="10" t="str">
        <x:v>长沙外国语学校</x:v>
      </x:c>
      <x:c r="G413" s="12" t="n">
        <x:f>SUM(H413:J413)+K413</x:f>
        <x:v>300</x:v>
      </x:c>
      <x:c r="H413" s="12" t="n">
        <x:v>100</x:v>
      </x:c>
      <x:c r="I413" s="12" t="n">
        <x:v>76</x:v>
      </x:c>
      <x:c r="J413" s="12" t="n">
        <x:v>124</x:v>
      </x:c>
      <x:c r="K413" s="12" t="n">
        <x:f>IF(D413="A",5,0)</x:f>
        <x:v>0</x:v>
      </x:c>
    </x:row>
    <x:row r="414" ht="30" customHeight="1">
      <x:c r="A414" s="11" t="n">
        <x:f>RANK.EQ(G414,$G$2:$G$523,0)</x:f>
        <x:v>413</x:v>
      </x:c>
      <x:c r="B414" s="7" t="str">
        <x:v>SC-022</x:v>
      </x:c>
      <x:c r="C414" s="7" t="str">
        <x:v>SC</x:v>
      </x:c>
      <x:c r="D414" s="7" t="str">
        <x:v>D</x:v>
      </x:c>
      <x:c r="E414" s="8" t="str">
        <x:v>唐若轩</x:v>
      </x:c>
      <x:c r="F414" s="10" t="str">
        <x:v>成都市成华区嘉祥外国语学校</x:v>
      </x:c>
      <x:c r="G414" s="12" t="n">
        <x:f>SUM(H414:J414)+K414</x:f>
        <x:v>299</x:v>
      </x:c>
      <x:c r="H414" s="12" t="n">
        <x:v>100</x:v>
      </x:c>
      <x:c r="I414" s="12" t="n">
        <x:v>84</x:v>
      </x:c>
      <x:c r="J414" s="12" t="n">
        <x:v>115</x:v>
      </x:c>
      <x:c r="K414" s="12" t="n">
        <x:f>IF(D414="A",5,0)</x:f>
        <x:v>0</x:v>
      </x:c>
    </x:row>
    <x:row r="415" ht="30" customHeight="1">
      <x:c r="A415" s="11" t="n">
        <x:f>RANK.EQ(G415,$G$2:$G$523,0)</x:f>
        <x:v>414</x:v>
      </x:c>
      <x:c r="B415" s="7" t="str">
        <x:v>HK-002</x:v>
      </x:c>
      <x:c r="C415" s="7" t="str">
        <x:v>HK</x:v>
      </x:c>
      <x:c r="D415" s="7" t="str">
        <x:v>A</x:v>
      </x:c>
      <x:c r="E415" s="8" t="str">
        <x:v>黎康同</x:v>
      </x:c>
      <x:c r="F415" s="10" t="str">
        <x:v>喇沙書院</x:v>
      </x:c>
      <x:c r="G415" s="12" t="n">
        <x:f>SUM(H415:J415)+K415</x:f>
        <x:v>297</x:v>
      </x:c>
      <x:c r="H415" s="12" t="n">
        <x:v>100</x:v>
      </x:c>
      <x:c r="I415" s="12" t="n">
        <x:v>142</x:v>
      </x:c>
      <x:c r="J415" s="12" t="n">
        <x:v>50</x:v>
      </x:c>
      <x:c r="K415" s="12" t="n">
        <x:f>IF(D415="A",5,0)</x:f>
        <x:v>5</x:v>
      </x:c>
    </x:row>
    <x:row r="416" ht="30" customHeight="1">
      <x:c r="A416" s="11" t="n">
        <x:f>RANK.EQ(G416,$G$2:$G$523,0)</x:f>
        <x:v>414</x:v>
      </x:c>
      <x:c r="B416" s="7" t="str">
        <x:v>SD-024</x:v>
      </x:c>
      <x:c r="C416" s="7" t="str">
        <x:v>SD</x:v>
      </x:c>
      <x:c r="D416" s="7" t="str">
        <x:v>D</x:v>
      </x:c>
      <x:c r="E416" s="8" t="str">
        <x:v>葛林轩</x:v>
      </x:c>
      <x:c r="F416" s="10" t="str">
        <x:v>济南振声学校</x:v>
      </x:c>
      <x:c r="G416" s="12" t="n">
        <x:f>SUM(H416:J416)+K416</x:f>
        <x:v>297</x:v>
      </x:c>
      <x:c r="H416" s="12" t="n">
        <x:v>100</x:v>
      </x:c>
      <x:c r="I416" s="12" t="n">
        <x:v>74</x:v>
      </x:c>
      <x:c r="J416" s="12" t="n">
        <x:v>123</x:v>
      </x:c>
      <x:c r="K416" s="12" t="n">
        <x:f>IF(D416="A",5,0)</x:f>
        <x:v>0</x:v>
      </x:c>
    </x:row>
    <x:row r="417" ht="30" customHeight="1">
      <x:c r="A417" s="11" t="n">
        <x:f>RANK.EQ(G417,$G$2:$G$523,0)</x:f>
        <x:v>416</x:v>
      </x:c>
      <x:c r="B417" s="7" t="str">
        <x:v>YN-011</x:v>
      </x:c>
      <x:c r="C417" s="7" t="str">
        <x:v>YN</x:v>
      </x:c>
      <x:c r="D417" s="7" t="str">
        <x:v>E</x:v>
      </x:c>
      <x:c r="E417" s="8" t="str">
        <x:v>孙浩天</x:v>
      </x:c>
      <x:c r="F417" s="10" t="str">
        <x:v>蒙自市第一高级中学</x:v>
      </x:c>
      <x:c r="G417" s="12" t="n">
        <x:f>SUM(H417:J417)+K417</x:f>
        <x:v>296</x:v>
      </x:c>
      <x:c r="H417" s="12" t="n">
        <x:v>100</x:v>
      </x:c>
      <x:c r="I417" s="12" t="n">
        <x:v>113</x:v>
      </x:c>
      <x:c r="J417" s="12" t="n">
        <x:v>83</x:v>
      </x:c>
      <x:c r="K417" s="12" t="n">
        <x:f>IF(D417="A",5,0)</x:f>
        <x:v>0</x:v>
      </x:c>
    </x:row>
    <x:row r="418" ht="30" customHeight="1">
      <x:c r="A418" s="11" t="n">
        <x:f>RANK.EQ(G418,$G$2:$G$523,0)</x:f>
        <x:v>417</x:v>
      </x:c>
      <x:c r="B418" s="7" t="str">
        <x:v>HI-002</x:v>
      </x:c>
      <x:c r="C418" s="7" t="str">
        <x:v>HI</x:v>
      </x:c>
      <x:c r="D418" s="7" t="str">
        <x:v>A</x:v>
      </x:c>
      <x:c r="E418" s="8" t="str">
        <x:v>陈文默</x:v>
      </x:c>
      <x:c r="F418" s="10" t="str">
        <x:v>海南华侨中学</x:v>
      </x:c>
      <x:c r="G418" s="12" t="n">
        <x:f>SUM(H418:J418)+K418</x:f>
        <x:v>295</x:v>
      </x:c>
      <x:c r="H418" s="12" t="n">
        <x:v>100</x:v>
      </x:c>
      <x:c r="I418" s="12" t="n">
        <x:v>100</x:v>
      </x:c>
      <x:c r="J418" s="12" t="n">
        <x:v>90</x:v>
      </x:c>
      <x:c r="K418" s="12" t="n">
        <x:f>IF(D418="A",5,0)</x:f>
        <x:v>5</x:v>
      </x:c>
    </x:row>
    <x:row r="419" ht="30" customHeight="1">
      <x:c r="A419" s="11" t="n">
        <x:f>RANK.EQ(G419,$G$2:$G$523,0)</x:f>
        <x:v>418</x:v>
      </x:c>
      <x:c r="B419" s="7" t="str">
        <x:v>BJ-029</x:v>
      </x:c>
      <x:c r="C419" s="7" t="str">
        <x:v>BJ</x:v>
      </x:c>
      <x:c r="D419" s="7" t="str">
        <x:v>D</x:v>
      </x:c>
      <x:c r="E419" s="8" t="str">
        <x:v>张家澍</x:v>
      </x:c>
      <x:c r="F419" s="10" t="str">
        <x:v>北京市朝阳区人朝分东坝学校</x:v>
      </x:c>
      <x:c r="G419" s="12" t="n">
        <x:f>SUM(H419:J419)+K419</x:f>
        <x:v>292</x:v>
      </x:c>
      <x:c r="H419" s="12" t="n">
        <x:v>100</x:v>
      </x:c>
      <x:c r="I419" s="12" t="n">
        <x:v>103</x:v>
      </x:c>
      <x:c r="J419" s="12" t="n">
        <x:v>89</x:v>
      </x:c>
      <x:c r="K419" s="12" t="n">
        <x:f>IF(D419="A",5,0)</x:f>
        <x:v>0</x:v>
      </x:c>
    </x:row>
    <x:row r="420" ht="30" customHeight="1">
      <x:c r="A420" s="11" t="n">
        <x:f>RANK.EQ(G420,$G$2:$G$523,0)</x:f>
        <x:v>419</x:v>
      </x:c>
      <x:c r="B420" s="7" t="str">
        <x:v>HI-004</x:v>
      </x:c>
      <x:c r="C420" s="7" t="str">
        <x:v>HI</x:v>
      </x:c>
      <x:c r="D420" s="7" t="str">
        <x:v>A</x:v>
      </x:c>
      <x:c r="E420" s="8" t="str">
        <x:v>邹岱呈</x:v>
      </x:c>
      <x:c r="F420" s="10" t="str">
        <x:v>海南微城未来教育学校</x:v>
      </x:c>
      <x:c r="G420" s="12" t="n">
        <x:f>SUM(H420:J420)+K420</x:f>
        <x:v>289</x:v>
      </x:c>
      <x:c r="H420" s="12" t="n">
        <x:v>99</x:v>
      </x:c>
      <x:c r="I420" s="12" t="n">
        <x:v>120</x:v>
      </x:c>
      <x:c r="J420" s="12" t="n">
        <x:v>65</x:v>
      </x:c>
      <x:c r="K420" s="12" t="n">
        <x:f>IF(D420="A",5,0)</x:f>
        <x:v>5</x:v>
      </x:c>
    </x:row>
    <x:row r="421" ht="30" customHeight="1">
      <x:c r="A421" s="11" t="n">
        <x:f>RANK.EQ(G421,$G$2:$G$523,0)</x:f>
        <x:v>419</x:v>
      </x:c>
      <x:c r="B421" s="7" t="str">
        <x:v>SC-013</x:v>
      </x:c>
      <x:c r="C421" s="7" t="str">
        <x:v>SC</x:v>
      </x:c>
      <x:c r="D421" s="7" t="str">
        <x:v>B</x:v>
      </x:c>
      <x:c r="E421" s="8" t="str">
        <x:v>谢荣泽</x:v>
      </x:c>
      <x:c r="F421" s="10" t="str">
        <x:v>成都外国语学校</x:v>
      </x:c>
      <x:c r="G421" s="12" t="n">
        <x:f>SUM(H421:J421)+K421</x:f>
        <x:v>289</x:v>
      </x:c>
      <x:c r="H421" s="12" t="n">
        <x:v>100</x:v>
      </x:c>
      <x:c r="I421" s="12" t="n">
        <x:v>95</x:v>
      </x:c>
      <x:c r="J421" s="12" t="n">
        <x:v>94</x:v>
      </x:c>
      <x:c r="K421" s="12" t="n">
        <x:f>IF(D421="A",5,0)</x:f>
        <x:v>0</x:v>
      </x:c>
    </x:row>
    <x:row r="422" ht="30" customHeight="1">
      <x:c r="A422" s="11" t="n">
        <x:f>RANK.EQ(G422,$G$2:$G$523,0)</x:f>
        <x:v>419</x:v>
      </x:c>
      <x:c r="B422" s="7" t="str">
        <x:v>TJ-003</x:v>
      </x:c>
      <x:c r="C422" s="7" t="str">
        <x:v>TJ</x:v>
      </x:c>
      <x:c r="D422" s="7" t="str">
        <x:v>A</x:v>
      </x:c>
      <x:c r="E422" s="8" t="str">
        <x:v>张睿宸</x:v>
      </x:c>
      <x:c r="F422" s="10" t="str">
        <x:v>天津市南开中学</x:v>
      </x:c>
      <x:c r="G422" s="12" t="n">
        <x:f>SUM(H422:J422)+K422</x:f>
        <x:v>289</x:v>
      </x:c>
      <x:c r="H422" s="12" t="n">
        <x:v>100</x:v>
      </x:c>
      <x:c r="I422" s="12" t="n">
        <x:v>106</x:v>
      </x:c>
      <x:c r="J422" s="12" t="n">
        <x:v>78</x:v>
      </x:c>
      <x:c r="K422" s="12" t="n">
        <x:f>IF(D422="A",5,0)</x:f>
        <x:v>5</x:v>
      </x:c>
    </x:row>
    <x:row r="423" ht="30" customHeight="1">
      <x:c r="A423" s="11" t="n">
        <x:f>RANK.EQ(G423,$G$2:$G$523,0)</x:f>
        <x:v>422</x:v>
      </x:c>
      <x:c r="B423" s="7" t="str">
        <x:v>YN-004</x:v>
      </x:c>
      <x:c r="C423" s="7" t="str">
        <x:v>YN</x:v>
      </x:c>
      <x:c r="D423" s="7" t="str">
        <x:v>A</x:v>
      </x:c>
      <x:c r="E423" s="8" t="str">
        <x:v>傅栎畅</x:v>
      </x:c>
      <x:c r="F423" s="10" t="str">
        <x:v>蒙自市第一高级中学</x:v>
      </x:c>
      <x:c r="G423" s="12" t="n">
        <x:f>SUM(H423:J423)+K423</x:f>
        <x:v>288</x:v>
      </x:c>
      <x:c r="H423" s="12" t="n">
        <x:v>100</x:v>
      </x:c>
      <x:c r="I423" s="12" t="n">
        <x:v>93</x:v>
      </x:c>
      <x:c r="J423" s="12" t="n">
        <x:v>90</x:v>
      </x:c>
      <x:c r="K423" s="12" t="n">
        <x:f>IF(D423="A",5,0)</x:f>
        <x:v>5</x:v>
      </x:c>
    </x:row>
    <x:row r="424" ht="30" customHeight="1">
      <x:c r="A424" s="11" t="n">
        <x:f>RANK.EQ(G424,$G$2:$G$523,0)</x:f>
        <x:v>423</x:v>
      </x:c>
      <x:c r="B424" s="7" t="str">
        <x:v>NM-004</x:v>
      </x:c>
      <x:c r="C424" s="7" t="str">
        <x:v>NM</x:v>
      </x:c>
      <x:c r="D424" s="7" t="str">
        <x:v>A</x:v>
      </x:c>
      <x:c r="E424" s="8" t="str">
        <x:v>吕凝</x:v>
      </x:c>
      <x:c r="F424" s="10" t="str">
        <x:v>鄂托克旗第一中学</x:v>
      </x:c>
      <x:c r="G424" s="12" t="n">
        <x:f>SUM(H424:J424)+K424</x:f>
        <x:v>287</x:v>
      </x:c>
      <x:c r="H424" s="12" t="n">
        <x:v>100</x:v>
      </x:c>
      <x:c r="I424" s="12" t="n">
        <x:v>102</x:v>
      </x:c>
      <x:c r="J424" s="12" t="n">
        <x:v>80</x:v>
      </x:c>
      <x:c r="K424" s="12" t="n">
        <x:f>IF(D424="A",5,0)</x:f>
        <x:v>5</x:v>
      </x:c>
    </x:row>
    <x:row r="425" ht="30" customHeight="1">
      <x:c r="A425" s="11" t="n">
        <x:f>RANK.EQ(G425,$G$2:$G$523,0)</x:f>
        <x:v>424</x:v>
      </x:c>
      <x:c r="B425" s="7" t="str">
        <x:v>JL-007</x:v>
      </x:c>
      <x:c r="C425" s="7" t="str">
        <x:v>JL</x:v>
      </x:c>
      <x:c r="D425" s="7" t="str">
        <x:v>B</x:v>
      </x:c>
      <x:c r="E425" s="8" t="str">
        <x:v>王文浩</x:v>
      </x:c>
      <x:c r="F425" s="10" t="str">
        <x:v>长春吉大附中实验学校</x:v>
      </x:c>
      <x:c r="G425" s="12" t="n">
        <x:f>SUM(H425:J425)+K425</x:f>
        <x:v>286</x:v>
      </x:c>
      <x:c r="H425" s="12" t="n">
        <x:v>99</x:v>
      </x:c>
      <x:c r="I425" s="12" t="n">
        <x:v>92</x:v>
      </x:c>
      <x:c r="J425" s="12" t="n">
        <x:v>95</x:v>
      </x:c>
      <x:c r="K425" s="12" t="n">
        <x:f>IF(D425="A",5,0)</x:f>
        <x:v>0</x:v>
      </x:c>
    </x:row>
    <x:row r="426" ht="30" customHeight="1">
      <x:c r="A426" s="11" t="n">
        <x:f>RANK.EQ(G426,$G$2:$G$523,0)</x:f>
        <x:v>425</x:v>
      </x:c>
      <x:c r="B426" s="7" t="str">
        <x:v>NM-003</x:v>
      </x:c>
      <x:c r="C426" s="7" t="str">
        <x:v>NM</x:v>
      </x:c>
      <x:c r="D426" s="7" t="str">
        <x:v>A</x:v>
      </x:c>
      <x:c r="E426" s="8" t="str">
        <x:v>吴俊兴</x:v>
      </x:c>
      <x:c r="F426" s="10" t="str">
        <x:v>包头市第九中学</x:v>
      </x:c>
      <x:c r="G426" s="12" t="n">
        <x:f>SUM(H426:J426)+K426</x:f>
        <x:v>285</x:v>
      </x:c>
      <x:c r="H426" s="12" t="n">
        <x:v>100</x:v>
      </x:c>
      <x:c r="I426" s="12" t="n">
        <x:v>85</x:v>
      </x:c>
      <x:c r="J426" s="12" t="n">
        <x:v>95</x:v>
      </x:c>
      <x:c r="K426" s="12" t="n">
        <x:f>IF(D426="A",5,0)</x:f>
        <x:v>5</x:v>
      </x:c>
    </x:row>
    <x:row r="427" ht="30" customHeight="1">
      <x:c r="A427" s="11" t="n">
        <x:f>RANK.EQ(G427,$G$2:$G$523,0)</x:f>
        <x:v>426</x:v>
      </x:c>
      <x:c r="B427" s="7" t="str">
        <x:v>CQ-022</x:v>
      </x:c>
      <x:c r="C427" s="7" t="str">
        <x:v>CQ</x:v>
      </x:c>
      <x:c r="D427" s="7" t="str">
        <x:v>D</x:v>
      </x:c>
      <x:c r="E427" s="8" t="str">
        <x:v>杨峥圻</x:v>
      </x:c>
      <x:c r="F427" s="10" t="str">
        <x:v>重庆市第八中学校</x:v>
      </x:c>
      <x:c r="G427" s="12" t="n">
        <x:f>SUM(H427:J427)+K427</x:f>
        <x:v>284</x:v>
      </x:c>
      <x:c r="H427" s="12" t="n">
        <x:v>100</x:v>
      </x:c>
      <x:c r="I427" s="12" t="n">
        <x:v>129</x:v>
      </x:c>
      <x:c r="J427" s="12" t="n">
        <x:v>55</x:v>
      </x:c>
      <x:c r="K427" s="12" t="n">
        <x:f>IF(D427="A",5,0)</x:f>
        <x:v>0</x:v>
      </x:c>
    </x:row>
    <x:row r="428" ht="30" customHeight="1">
      <x:c r="A428" s="11" t="n">
        <x:f>RANK.EQ(G428,$G$2:$G$523,0)</x:f>
        <x:v>426</x:v>
      </x:c>
      <x:c r="B428" s="7" t="str">
        <x:v>HL-011</x:v>
      </x:c>
      <x:c r="C428" s="7" t="str">
        <x:v>HL</x:v>
      </x:c>
      <x:c r="D428" s="7" t="str">
        <x:v>E</x:v>
      </x:c>
      <x:c r="E428" s="8" t="str">
        <x:v>石东昊</x:v>
      </x:c>
      <x:c r="F428" s="10" t="str">
        <x:v>佳木斯市第十九中学</x:v>
      </x:c>
      <x:c r="G428" s="12" t="n">
        <x:f>SUM(H428:J428)+K428</x:f>
        <x:v>284</x:v>
      </x:c>
      <x:c r="H428" s="12" t="n">
        <x:v>98</x:v>
      </x:c>
      <x:c r="I428" s="12" t="n">
        <x:v>96</x:v>
      </x:c>
      <x:c r="J428" s="12" t="n">
        <x:v>90</x:v>
      </x:c>
      <x:c r="K428" s="12" t="n">
        <x:f>IF(D428="A",5,0)</x:f>
        <x:v>0</x:v>
      </x:c>
    </x:row>
    <x:row r="429" ht="30" customHeight="1">
      <x:c r="A429" s="11" t="n">
        <x:f>RANK.EQ(G429,$G$2:$G$523,0)</x:f>
        <x:v>426</x:v>
      </x:c>
      <x:c r="B429" s="7" t="str">
        <x:v>NM-002</x:v>
      </x:c>
      <x:c r="C429" s="7" t="str">
        <x:v>NM</x:v>
      </x:c>
      <x:c r="D429" s="7" t="str">
        <x:v>A</x:v>
      </x:c>
      <x:c r="E429" s="8" t="str">
        <x:v>王钰博</x:v>
      </x:c>
      <x:c r="F429" s="10" t="str">
        <x:v>呼和浩特市第二中学</x:v>
      </x:c>
      <x:c r="G429" s="12" t="n">
        <x:f>SUM(H429:J429)+K429</x:f>
        <x:v>284</x:v>
      </x:c>
      <x:c r="H429" s="12" t="n">
        <x:v>100</x:v>
      </x:c>
      <x:c r="I429" s="12" t="n">
        <x:v>99</x:v>
      </x:c>
      <x:c r="J429" s="12" t="n">
        <x:v>80</x:v>
      </x:c>
      <x:c r="K429" s="12" t="n">
        <x:f>IF(D429="A",5,0)</x:f>
        <x:v>5</x:v>
      </x:c>
    </x:row>
    <x:row r="430" ht="30" customHeight="1">
      <x:c r="A430" s="11" t="n">
        <x:f>RANK.EQ(G430,$G$2:$G$523,0)</x:f>
        <x:v>429</x:v>
      </x:c>
      <x:c r="B430" s="7" t="str">
        <x:v>SC-029</x:v>
      </x:c>
      <x:c r="C430" s="7" t="str">
        <x:v>SC</x:v>
      </x:c>
      <x:c r="D430" s="7" t="str">
        <x:v>E</x:v>
      </x:c>
      <x:c r="E430" s="8" t="str">
        <x:v>漆小凡</x:v>
      </x:c>
      <x:c r="F430" s="10" t="str">
        <x:v>成都市锦江区嘉祥外国语学校</x:v>
      </x:c>
      <x:c r="G430" s="12" t="n">
        <x:f>SUM(H430:J430)+K430</x:f>
        <x:v>282</x:v>
      </x:c>
      <x:c r="H430" s="12" t="n">
        <x:v>100</x:v>
      </x:c>
      <x:c r="I430" s="12" t="n">
        <x:v>80</x:v>
      </x:c>
      <x:c r="J430" s="12" t="n">
        <x:v>102</x:v>
      </x:c>
      <x:c r="K430" s="12" t="n">
        <x:f>IF(D430="A",5,0)</x:f>
        <x:v>0</x:v>
      </x:c>
    </x:row>
    <x:row r="431" ht="30" customHeight="1">
      <x:c r="A431" s="11" t="n">
        <x:f>RANK.EQ(G431,$G$2:$G$523,0)</x:f>
        <x:v>430</x:v>
      </x:c>
      <x:c r="B431" s="7" t="str">
        <x:v>HI-003</x:v>
      </x:c>
      <x:c r="C431" s="7" t="str">
        <x:v>HI</x:v>
      </x:c>
      <x:c r="D431" s="7" t="str">
        <x:v>A</x:v>
      </x:c>
      <x:c r="E431" s="8" t="str">
        <x:v>史国尊</x:v>
      </x:c>
      <x:c r="F431" s="10" t="str">
        <x:v>海南微城未来教育学校</x:v>
      </x:c>
      <x:c r="G431" s="12" t="n">
        <x:f>SUM(H431:J431)+K431</x:f>
        <x:v>280</x:v>
      </x:c>
      <x:c r="H431" s="12" t="n">
        <x:v>100</x:v>
      </x:c>
      <x:c r="I431" s="12" t="n">
        <x:v>99</x:v>
      </x:c>
      <x:c r="J431" s="12" t="n">
        <x:v>76</x:v>
      </x:c>
      <x:c r="K431" s="12" t="n">
        <x:f>IF(D431="A",5,0)</x:f>
        <x:v>5</x:v>
      </x:c>
    </x:row>
    <x:row r="432" ht="30" customHeight="1">
      <x:c r="A432" s="11" t="n">
        <x:f>RANK.EQ(G432,$G$2:$G$523,0)</x:f>
        <x:v>430</x:v>
      </x:c>
      <x:c r="B432" s="7" t="str">
        <x:v>TJ-002</x:v>
      </x:c>
      <x:c r="C432" s="7" t="str">
        <x:v>TJ</x:v>
      </x:c>
      <x:c r="D432" s="7" t="str">
        <x:v>A</x:v>
      </x:c>
      <x:c r="E432" s="8" t="str">
        <x:v>邸韵文</x:v>
      </x:c>
      <x:c r="F432" s="10" t="str">
        <x:v>天津英华实验学校</x:v>
      </x:c>
      <x:c r="G432" s="12" t="n">
        <x:f>SUM(H432:J432)+K432</x:f>
        <x:v>280</x:v>
      </x:c>
      <x:c r="H432" s="12" t="n">
        <x:v>100</x:v>
      </x:c>
      <x:c r="I432" s="12" t="n">
        <x:v>81</x:v>
      </x:c>
      <x:c r="J432" s="12" t="n">
        <x:v>94</x:v>
      </x:c>
      <x:c r="K432" s="12" t="n">
        <x:f>IF(D432="A",5,0)</x:f>
        <x:v>5</x:v>
      </x:c>
    </x:row>
    <x:row r="433" ht="30" customHeight="1">
      <x:c r="A433" s="11" t="n">
        <x:f>RANK.EQ(G433,$G$2:$G$523,0)</x:f>
        <x:v>430</x:v>
      </x:c>
      <x:c r="B433" s="7" t="str">
        <x:v>ZJ-028</x:v>
      </x:c>
      <x:c r="C433" s="7" t="str">
        <x:v>ZJ</x:v>
      </x:c>
      <x:c r="D433" s="7" t="str">
        <x:v>D</x:v>
      </x:c>
      <x:c r="E433" s="8" t="str">
        <x:v>罗煊皓</x:v>
      </x:c>
      <x:c r="F433" s="10" t="str">
        <x:v>余姚市实验学校</x:v>
      </x:c>
      <x:c r="G433" s="12" t="n">
        <x:f>SUM(H433:J433)+K433</x:f>
        <x:v>280</x:v>
      </x:c>
      <x:c r="H433" s="12" t="n">
        <x:v>100</x:v>
      </x:c>
      <x:c r="I433" s="12" t="n">
        <x:v>74</x:v>
      </x:c>
      <x:c r="J433" s="12" t="n">
        <x:v>106</x:v>
      </x:c>
      <x:c r="K433" s="12" t="n">
        <x:f>IF(D433="A",5,0)</x:f>
        <x:v>0</x:v>
      </x:c>
    </x:row>
    <x:row r="434" ht="30" customHeight="1">
      <x:c r="A434" s="11" t="n">
        <x:f>RANK.EQ(G434,$G$2:$G$523,0)</x:f>
        <x:v>433</x:v>
      </x:c>
      <x:c r="B434" s="7" t="str">
        <x:v>CQ-023</x:v>
      </x:c>
      <x:c r="C434" s="7" t="str">
        <x:v>CQ</x:v>
      </x:c>
      <x:c r="D434" s="7" t="str">
        <x:v>D</x:v>
      </x:c>
      <x:c r="E434" s="8" t="str">
        <x:v>赵文源</x:v>
      </x:c>
      <x:c r="F434" s="10" t="str">
        <x:v>重庆市第八中学校</x:v>
      </x:c>
      <x:c r="G434" s="12" t="n">
        <x:f>SUM(H434:J434)+K434</x:f>
        <x:v>278</x:v>
      </x:c>
      <x:c r="H434" s="12" t="n">
        <x:v>100</x:v>
      </x:c>
      <x:c r="I434" s="12" t="n">
        <x:v>88</x:v>
      </x:c>
      <x:c r="J434" s="12" t="n">
        <x:v>90</x:v>
      </x:c>
      <x:c r="K434" s="12" t="n">
        <x:f>IF(D434="A",5,0)</x:f>
        <x:v>0</x:v>
      </x:c>
    </x:row>
    <x:row r="435" ht="30" customHeight="1">
      <x:c r="A435" s="11" t="n">
        <x:f>RANK.EQ(G435,$G$2:$G$523,0)</x:f>
        <x:v>434</x:v>
      </x:c>
      <x:c r="B435" s="7" t="str">
        <x:v>SD-027</x:v>
      </x:c>
      <x:c r="C435" s="7" t="str">
        <x:v>SD</x:v>
      </x:c>
      <x:c r="D435" s="7" t="str">
        <x:v>D</x:v>
      </x:c>
      <x:c r="E435" s="8" t="str">
        <x:v>于笑亿</x:v>
      </x:c>
      <x:c r="F435" s="10" t="str">
        <x:v>青岛第二实验初级中学</x:v>
      </x:c>
      <x:c r="G435" s="12" t="n">
        <x:f>SUM(H435:J435)+K435</x:f>
        <x:v>277</x:v>
      </x:c>
      <x:c r="H435" s="12" t="n">
        <x:v>100</x:v>
      </x:c>
      <x:c r="I435" s="12" t="n">
        <x:v>59</x:v>
      </x:c>
      <x:c r="J435" s="12" t="n">
        <x:v>118</x:v>
      </x:c>
      <x:c r="K435" s="12" t="n">
        <x:f>IF(D435="A",5,0)</x:f>
        <x:v>0</x:v>
      </x:c>
    </x:row>
    <x:row r="436" ht="30" customHeight="1">
      <x:c r="A436" s="11" t="n">
        <x:f>RANK.EQ(G436,$G$2:$G$523,0)</x:f>
        <x:v>435</x:v>
      </x:c>
      <x:c r="B436" s="7" t="str">
        <x:v>GZ-007</x:v>
      </x:c>
      <x:c r="C436" s="7" t="str">
        <x:v>GZ</x:v>
      </x:c>
      <x:c r="D436" s="7" t="str">
        <x:v>B</x:v>
      </x:c>
      <x:c r="E436" s="8" t="str">
        <x:v>幸进尧</x:v>
      </x:c>
      <x:c r="F436" s="10" t="str">
        <x:v>贵阳市云城中学</x:v>
      </x:c>
      <x:c r="G436" s="12" t="n">
        <x:f>SUM(H436:J436)+K436</x:f>
        <x:v>275</x:v>
      </x:c>
      <x:c r="H436" s="12" t="n">
        <x:v>100</x:v>
      </x:c>
      <x:c r="I436" s="12" t="n">
        <x:v>145</x:v>
      </x:c>
      <x:c r="J436" s="12" t="n">
        <x:v>30</x:v>
      </x:c>
      <x:c r="K436" s="12" t="n">
        <x:f>IF(D436="A",5,0)</x:f>
        <x:v>0</x:v>
      </x:c>
    </x:row>
    <x:row r="437" ht="30" customHeight="1">
      <x:c r="A437" s="11" t="n">
        <x:f>RANK.EQ(G437,$G$2:$G$523,0)</x:f>
        <x:v>435</x:v>
      </x:c>
      <x:c r="B437" s="7" t="str">
        <x:v>HA-001</x:v>
      </x:c>
      <x:c r="C437" s="7" t="str">
        <x:v>HA</x:v>
      </x:c>
      <x:c r="D437" s="7" t="str">
        <x:v>A</x:v>
      </x:c>
      <x:c r="E437" s="8" t="str">
        <x:v>王佳溪</x:v>
      </x:c>
      <x:c r="F437" s="10" t="str">
        <x:v>焦作市第一中学</x:v>
      </x:c>
      <x:c r="G437" s="12" t="n">
        <x:f>SUM(H437:J437)+K437</x:f>
        <x:v>275</x:v>
      </x:c>
      <x:c r="H437" s="12" t="n">
        <x:v>100</x:v>
      </x:c>
      <x:c r="I437" s="12" t="n">
        <x:v>90</x:v>
      </x:c>
      <x:c r="J437" s="12" t="n">
        <x:v>80</x:v>
      </x:c>
      <x:c r="K437" s="12" t="n">
        <x:f>IF(D437="A",5,0)</x:f>
        <x:v>5</x:v>
      </x:c>
    </x:row>
    <x:row r="438" ht="30" customHeight="1">
      <x:c r="A438" s="11" t="n">
        <x:f>RANK.EQ(G438,$G$2:$G$523,0)</x:f>
        <x:v>437</x:v>
      </x:c>
      <x:c r="B438" s="7" t="str">
        <x:v>GX-007</x:v>
      </x:c>
      <x:c r="C438" s="7" t="str">
        <x:v>GX</x:v>
      </x:c>
      <x:c r="D438" s="7" t="str">
        <x:v>B</x:v>
      </x:c>
      <x:c r="E438" s="8" t="str">
        <x:v>刘国辉</x:v>
      </x:c>
      <x:c r="F438" s="10" t="str">
        <x:v>南宁市第二中学</x:v>
      </x:c>
      <x:c r="G438" s="12" t="n">
        <x:f>SUM(H438:J438)+K438</x:f>
        <x:v>274</x:v>
      </x:c>
      <x:c r="H438" s="12" t="n">
        <x:v>100</x:v>
      </x:c>
      <x:c r="I438" s="12" t="n">
        <x:v>86</x:v>
      </x:c>
      <x:c r="J438" s="12" t="n">
        <x:v>88</x:v>
      </x:c>
      <x:c r="K438" s="12" t="n">
        <x:f>IF(D438="A",5,0)</x:f>
        <x:v>0</x:v>
      </x:c>
    </x:row>
    <x:row r="439" ht="30" customHeight="1">
      <x:c r="A439" s="11" t="n">
        <x:f>RANK.EQ(G439,$G$2:$G$523,0)</x:f>
        <x:v>437</x:v>
      </x:c>
      <x:c r="B439" s="7" t="str">
        <x:v>GX-008</x:v>
      </x:c>
      <x:c r="C439" s="7" t="str">
        <x:v>GX</x:v>
      </x:c>
      <x:c r="D439" s="7" t="str">
        <x:v>E</x:v>
      </x:c>
      <x:c r="E439" s="8" t="str">
        <x:v>张瀚文</x:v>
      </x:c>
      <x:c r="F439" s="10" t="str">
        <x:v>南宁市第三中学</x:v>
      </x:c>
      <x:c r="G439" s="12" t="n">
        <x:f>SUM(H439:J439)+K439</x:f>
        <x:v>274</x:v>
      </x:c>
      <x:c r="H439" s="12" t="n">
        <x:v>100</x:v>
      </x:c>
      <x:c r="I439" s="12" t="n">
        <x:v>76</x:v>
      </x:c>
      <x:c r="J439" s="12" t="n">
        <x:v>98</x:v>
      </x:c>
      <x:c r="K439" s="12" t="n">
        <x:f>IF(D439="A",5,0)</x:f>
        <x:v>0</x:v>
      </x:c>
    </x:row>
    <x:row r="440" ht="30" customHeight="1">
      <x:c r="A440" s="11" t="n">
        <x:f>RANK.EQ(G440,$G$2:$G$523,0)</x:f>
        <x:v>437</x:v>
      </x:c>
      <x:c r="B440" s="7" t="str">
        <x:v>HN-015</x:v>
      </x:c>
      <x:c r="C440" s="7" t="str">
        <x:v>HN</x:v>
      </x:c>
      <x:c r="D440" s="7" t="str">
        <x:v>D</x:v>
      </x:c>
      <x:c r="E440" s="8" t="str">
        <x:v>孔德</x:v>
      </x:c>
      <x:c r="F440" s="10" t="str">
        <x:v>长沙市长郡中学</x:v>
      </x:c>
      <x:c r="G440" s="12" t="n">
        <x:f>SUM(H440:J440)+K440</x:f>
        <x:v>274</x:v>
      </x:c>
      <x:c r="H440" s="12" t="n">
        <x:v>100</x:v>
      </x:c>
      <x:c r="I440" s="12" t="n">
        <x:v>68</x:v>
      </x:c>
      <x:c r="J440" s="12" t="n">
        <x:v>106</x:v>
      </x:c>
      <x:c r="K440" s="12" t="n">
        <x:f>IF(D440="A",5,0)</x:f>
        <x:v>0</x:v>
      </x:c>
    </x:row>
    <x:row r="441" ht="30" customHeight="1">
      <x:c r="A441" s="11" t="n">
        <x:f>RANK.EQ(G441,$G$2:$G$523,0)</x:f>
        <x:v>440</x:v>
      </x:c>
      <x:c r="B441" s="7" t="str">
        <x:v>HI-009</x:v>
      </x:c>
      <x:c r="C441" s="7" t="str">
        <x:v>HI</x:v>
      </x:c>
      <x:c r="D441" s="7" t="str">
        <x:v>E</x:v>
      </x:c>
      <x:c r="E441" s="8" t="str">
        <x:v>邢天恺</x:v>
      </x:c>
      <x:c r="F441" s="10" t="str">
        <x:v>海口中学</x:v>
      </x:c>
      <x:c r="G441" s="12" t="n">
        <x:f>SUM(H441:J441)+K441</x:f>
        <x:v>273</x:v>
      </x:c>
      <x:c r="H441" s="12" t="n">
        <x:v>99</x:v>
      </x:c>
      <x:c r="I441" s="12" t="n">
        <x:v>104</x:v>
      </x:c>
      <x:c r="J441" s="12" t="n">
        <x:v>70</x:v>
      </x:c>
      <x:c r="K441" s="12" t="n">
        <x:f>IF(D441="A",5,0)</x:f>
        <x:v>0</x:v>
      </x:c>
    </x:row>
    <x:row r="442" ht="30" customHeight="1">
      <x:c r="A442" s="11" t="n">
        <x:f>RANK.EQ(G442,$G$2:$G$523,0)</x:f>
        <x:v>440</x:v>
      </x:c>
      <x:c r="B442" s="7" t="str">
        <x:v>SD-005</x:v>
      </x:c>
      <x:c r="C442" s="7" t="str">
        <x:v>SD</x:v>
      </x:c>
      <x:c r="D442" s="7" t="str">
        <x:v>A</x:v>
      </x:c>
      <x:c r="E442" s="8" t="str">
        <x:v>罗一康</x:v>
      </x:c>
      <x:c r="F442" s="10" t="str">
        <x:v>山东省平邑第一中学</x:v>
      </x:c>
      <x:c r="G442" s="12" t="n">
        <x:f>SUM(H442:J442)+K442</x:f>
        <x:v>273</x:v>
      </x:c>
      <x:c r="H442" s="12" t="n">
        <x:v>100</x:v>
      </x:c>
      <x:c r="I442" s="12" t="n">
        <x:v>118</x:v>
      </x:c>
      <x:c r="J442" s="12" t="n">
        <x:v>50</x:v>
      </x:c>
      <x:c r="K442" s="12" t="n">
        <x:f>IF(D442="A",5,0)</x:f>
        <x:v>5</x:v>
      </x:c>
    </x:row>
    <x:row r="443" ht="30" customHeight="1">
      <x:c r="A443" s="11" t="n">
        <x:f>RANK.EQ(G443,$G$2:$G$523,0)</x:f>
        <x:v>442</x:v>
      </x:c>
      <x:c r="B443" s="7" t="str">
        <x:v>YN-010</x:v>
      </x:c>
      <x:c r="C443" s="7" t="str">
        <x:v>YN</x:v>
      </x:c>
      <x:c r="D443" s="7" t="str">
        <x:v>E</x:v>
      </x:c>
      <x:c r="E443" s="8" t="str">
        <x:v>李泽宣</x:v>
      </x:c>
      <x:c r="F443" s="10" t="str">
        <x:v>昆明市莲华中学</x:v>
      </x:c>
      <x:c r="G443" s="12" t="n">
        <x:f>SUM(H443:J443)+K443</x:f>
        <x:v>272</x:v>
      </x:c>
      <x:c r="H443" s="12" t="n">
        <x:v>100</x:v>
      </x:c>
      <x:c r="I443" s="12" t="n">
        <x:v>68</x:v>
      </x:c>
      <x:c r="J443" s="12" t="n">
        <x:v>104</x:v>
      </x:c>
      <x:c r="K443" s="12" t="n">
        <x:f>IF(D443="A",5,0)</x:f>
        <x:v>0</x:v>
      </x:c>
    </x:row>
    <x:row r="444" ht="30" customHeight="1">
      <x:c r="A444" s="11" t="n">
        <x:f>RANK.EQ(G444,$G$2:$G$523,0)</x:f>
        <x:v>443</x:v>
      </x:c>
      <x:c r="B444" s="7" t="str">
        <x:v>FJ-004</x:v>
      </x:c>
      <x:c r="C444" s="7" t="str">
        <x:v>FJ</x:v>
      </x:c>
      <x:c r="D444" s="7" t="str">
        <x:v>A</x:v>
      </x:c>
      <x:c r="E444" s="8" t="str">
        <x:v>刘悦萱</x:v>
      </x:c>
      <x:c r="F444" s="10" t="str">
        <x:v>福建省福州第三中学</x:v>
      </x:c>
      <x:c r="G444" s="12" t="n">
        <x:f>SUM(H444:J444)+K444</x:f>
        <x:v>266</x:v>
      </x:c>
      <x:c r="H444" s="12" t="n">
        <x:v>100</x:v>
      </x:c>
      <x:c r="I444" s="12" t="n">
        <x:v>103</x:v>
      </x:c>
      <x:c r="J444" s="12" t="n">
        <x:v>58</x:v>
      </x:c>
      <x:c r="K444" s="12" t="n">
        <x:f>IF(D444="A",5,0)</x:f>
        <x:v>5</x:v>
      </x:c>
    </x:row>
    <x:row r="445" ht="30" customHeight="1">
      <x:c r="A445" s="11" t="n">
        <x:f>RANK.EQ(G445,$G$2:$G$523,0)</x:f>
        <x:v>444</x:v>
      </x:c>
      <x:c r="B445" s="7" t="str">
        <x:v>SD-018</x:v>
      </x:c>
      <x:c r="C445" s="7" t="str">
        <x:v>SD</x:v>
      </x:c>
      <x:c r="D445" s="7" t="str">
        <x:v>B</x:v>
      </x:c>
      <x:c r="E445" s="8" t="str">
        <x:v>柏紫凡</x:v>
      </x:c>
      <x:c r="F445" s="10" t="str">
        <x:v>烟台青华中学</x:v>
      </x:c>
      <x:c r="G445" s="12" t="n">
        <x:f>SUM(H445:J445)+K445</x:f>
        <x:v>265</x:v>
      </x:c>
      <x:c r="H445" s="12" t="n">
        <x:v>100</x:v>
      </x:c>
      <x:c r="I445" s="12" t="n">
        <x:v>75</x:v>
      </x:c>
      <x:c r="J445" s="12" t="n">
        <x:v>90</x:v>
      </x:c>
      <x:c r="K445" s="12" t="n">
        <x:f>IF(D445="A",5,0)</x:f>
        <x:v>0</x:v>
      </x:c>
    </x:row>
    <x:row r="446" ht="30" customHeight="1">
      <x:c r="A446" s="11" t="n">
        <x:f>RANK.EQ(G446,$G$2:$G$523,0)</x:f>
        <x:v>445</x:v>
      </x:c>
      <x:c r="B446" s="7" t="str">
        <x:v>GZ-008</x:v>
      </x:c>
      <x:c r="C446" s="7" t="str">
        <x:v>GZ</x:v>
      </x:c>
      <x:c r="D446" s="7" t="str">
        <x:v>E</x:v>
      </x:c>
      <x:c r="E446" s="8" t="str">
        <x:v>程袁浩</x:v>
      </x:c>
      <x:c r="F446" s="10" t="str">
        <x:v>贵阳市白云区华师一学校</x:v>
      </x:c>
      <x:c r="G446" s="12" t="n">
        <x:f>SUM(H446:J446)+K446</x:f>
        <x:v>264</x:v>
      </x:c>
      <x:c r="H446" s="12" t="n">
        <x:v>99</x:v>
      </x:c>
      <x:c r="I446" s="12" t="n">
        <x:v>100</x:v>
      </x:c>
      <x:c r="J446" s="12" t="n">
        <x:v>65</x:v>
      </x:c>
      <x:c r="K446" s="12" t="n">
        <x:f>IF(D446="A",5,0)</x:f>
        <x:v>0</x:v>
      </x:c>
    </x:row>
    <x:row r="447" ht="30" customHeight="1">
      <x:c r="A447" s="11" t="n">
        <x:f>RANK.EQ(G447,$G$2:$G$523,0)</x:f>
        <x:v>445</x:v>
      </x:c>
      <x:c r="B447" s="7" t="str">
        <x:v>HE-006</x:v>
      </x:c>
      <x:c r="C447" s="7" t="str">
        <x:v>HE</x:v>
      </x:c>
      <x:c r="D447" s="7" t="str">
        <x:v>B</x:v>
      </x:c>
      <x:c r="E447" s="8" t="str">
        <x:v>徐天泽</x:v>
      </x:c>
      <x:c r="F447" s="10" t="str">
        <x:v>石家庄市第二中学</x:v>
      </x:c>
      <x:c r="G447" s="12" t="n">
        <x:f>SUM(H447:J447)+K447</x:f>
        <x:v>264</x:v>
      </x:c>
      <x:c r="H447" s="12" t="n">
        <x:v>100</x:v>
      </x:c>
      <x:c r="I447" s="12" t="n">
        <x:v>29</x:v>
      </x:c>
      <x:c r="J447" s="12" t="n">
        <x:v>135</x:v>
      </x:c>
      <x:c r="K447" s="12" t="n">
        <x:f>IF(D447="A",5,0)</x:f>
        <x:v>0</x:v>
      </x:c>
    </x:row>
    <x:row r="448" ht="30" customHeight="1">
      <x:c r="A448" s="11" t="n">
        <x:f>RANK.EQ(G448,$G$2:$G$523,0)</x:f>
        <x:v>445</x:v>
      </x:c>
      <x:c r="B448" s="7" t="str">
        <x:v>SD-029</x:v>
      </x:c>
      <x:c r="C448" s="7" t="str">
        <x:v>SD</x:v>
      </x:c>
      <x:c r="D448" s="7" t="str">
        <x:v>D</x:v>
      </x:c>
      <x:c r="E448" s="8" t="str">
        <x:v>李艾洋</x:v>
      </x:c>
      <x:c r="F448" s="10" t="str">
        <x:v>山东省临沂第四中学</x:v>
      </x:c>
      <x:c r="G448" s="12" t="n">
        <x:f>SUM(H448:J448)+K448</x:f>
        <x:v>264</x:v>
      </x:c>
      <x:c r="H448" s="12" t="n">
        <x:v>100</x:v>
      </x:c>
      <x:c r="I448" s="12" t="n">
        <x:v>70</x:v>
      </x:c>
      <x:c r="J448" s="12" t="n">
        <x:v>94</x:v>
      </x:c>
      <x:c r="K448" s="12" t="n">
        <x:f>IF(D448="A",5,0)</x:f>
        <x:v>0</x:v>
      </x:c>
    </x:row>
    <x:row r="449" ht="30" customHeight="1">
      <x:c r="A449" s="11" t="n">
        <x:f>RANK.EQ(G449,$G$2:$G$523,0)</x:f>
        <x:v>448</x:v>
      </x:c>
      <x:c r="B449" s="7" t="str">
        <x:v>SN-014</x:v>
      </x:c>
      <x:c r="C449" s="7" t="str">
        <x:v>SN</x:v>
      </x:c>
      <x:c r="D449" s="7" t="str">
        <x:v>D</x:v>
      </x:c>
      <x:c r="E449" s="8" t="str">
        <x:v>徐康硕</x:v>
      </x:c>
      <x:c r="F449" s="10" t="str">
        <x:v>西安市铁一中学</x:v>
      </x:c>
      <x:c r="G449" s="12" t="n">
        <x:f>SUM(H449:J449)+K449</x:f>
        <x:v>262</x:v>
      </x:c>
      <x:c r="H449" s="12" t="n">
        <x:v>100</x:v>
      </x:c>
      <x:c r="I449" s="12" t="n">
        <x:v>112</x:v>
      </x:c>
      <x:c r="J449" s="12" t="n">
        <x:v>50</x:v>
      </x:c>
      <x:c r="K449" s="12" t="n">
        <x:f>IF(D449="A",5,0)</x:f>
        <x:v>0</x:v>
      </x:c>
    </x:row>
    <x:row r="450" ht="30" customHeight="1">
      <x:c r="A450" s="11" t="n">
        <x:f>RANK.EQ(G450,$G$2:$G$523,0)</x:f>
        <x:v>449</x:v>
      </x:c>
      <x:c r="B450" s="7" t="str">
        <x:v>ZJ-021</x:v>
      </x:c>
      <x:c r="C450" s="7" t="str">
        <x:v>ZJ</x:v>
      </x:c>
      <x:c r="D450" s="7" t="str">
        <x:v>B</x:v>
      </x:c>
      <x:c r="E450" s="8" t="str">
        <x:v>范玉祥</x:v>
      </x:c>
      <x:c r="F450" s="10" t="str">
        <x:v>绍兴市第一中学</x:v>
      </x:c>
      <x:c r="G450" s="12" t="n">
        <x:f>SUM(H450:J450)+K450</x:f>
        <x:v>261</x:v>
      </x:c>
      <x:c r="H450" s="12" t="n">
        <x:v>100</x:v>
      </x:c>
      <x:c r="I450" s="12" t="n">
        <x:v>63</x:v>
      </x:c>
      <x:c r="J450" s="12" t="n">
        <x:v>98</x:v>
      </x:c>
      <x:c r="K450" s="12" t="n">
        <x:f>IF(D450="A",5,0)</x:f>
        <x:v>0</x:v>
      </x:c>
    </x:row>
    <x:row r="451" ht="30" customHeight="1">
      <x:c r="A451" s="11" t="n">
        <x:f>RANK.EQ(G451,$G$2:$G$523,0)</x:f>
        <x:v>450</x:v>
      </x:c>
      <x:c r="B451" s="7" t="str">
        <x:v>NM-006</x:v>
      </x:c>
      <x:c r="C451" s="7" t="str">
        <x:v>NM</x:v>
      </x:c>
      <x:c r="D451" s="7" t="str">
        <x:v>B</x:v>
      </x:c>
      <x:c r="E451" s="8" t="str">
        <x:v>王天骄</x:v>
      </x:c>
      <x:c r="F451" s="10" t="str">
        <x:v>包头市第九中学</x:v>
      </x:c>
      <x:c r="G451" s="12" t="n">
        <x:f>SUM(H451:J451)+K451</x:f>
        <x:v>259</x:v>
      </x:c>
      <x:c r="H451" s="12" t="n">
        <x:v>100</x:v>
      </x:c>
      <x:c r="I451" s="12" t="n">
        <x:v>101</x:v>
      </x:c>
      <x:c r="J451" s="12" t="n">
        <x:v>58</x:v>
      </x:c>
      <x:c r="K451" s="12" t="n">
        <x:f>IF(D451="A",5,0)</x:f>
        <x:v>0</x:v>
      </x:c>
    </x:row>
    <x:row r="452" ht="30" customHeight="1">
      <x:c r="A452" s="11" t="n">
        <x:f>RANK.EQ(G452,$G$2:$G$523,0)</x:f>
        <x:v>451</x:v>
      </x:c>
      <x:c r="B452" s="7" t="str">
        <x:v>GZ-002</x:v>
      </x:c>
      <x:c r="C452" s="7" t="str">
        <x:v>GZ</x:v>
      </x:c>
      <x:c r="D452" s="7" t="str">
        <x:v>A</x:v>
      </x:c>
      <x:c r="E452" s="8" t="str">
        <x:v>孙宇宸</x:v>
      </x:c>
      <x:c r="F452" s="10" t="str">
        <x:v>贵阳市华师一学校</x:v>
      </x:c>
      <x:c r="G452" s="12" t="n">
        <x:f>SUM(H452:J452)+K452</x:f>
        <x:v>255</x:v>
      </x:c>
      <x:c r="H452" s="12" t="n">
        <x:v>100</x:v>
      </x:c>
      <x:c r="I452" s="12" t="n">
        <x:v>52</x:v>
      </x:c>
      <x:c r="J452" s="12" t="n">
        <x:v>98</x:v>
      </x:c>
      <x:c r="K452" s="12" t="n">
        <x:f>IF(D452="A",5,0)</x:f>
        <x:v>5</x:v>
      </x:c>
    </x:row>
    <x:row r="453" ht="30" customHeight="1">
      <x:c r="A453" s="11" t="n">
        <x:f>RANK.EQ(G453,$G$2:$G$523,0)</x:f>
        <x:v>452</x:v>
      </x:c>
      <x:c r="B453" s="7" t="str">
        <x:v>MO-003</x:v>
      </x:c>
      <x:c r="C453" s="7" t="str">
        <x:v>MO</x:v>
      </x:c>
      <x:c r="D453" s="7" t="str">
        <x:v>A</x:v>
      </x:c>
      <x:c r="E453" s="8" t="str">
        <x:v>李思賢</x:v>
      </x:c>
      <x:c r="F453" s="10" t="str">
        <x:v>培正中學</x:v>
      </x:c>
      <x:c r="G453" s="12" t="n">
        <x:f>SUM(H453:J453)+K453</x:f>
        <x:v>254</x:v>
      </x:c>
      <x:c r="H453" s="12" t="n">
        <x:v>100</x:v>
      </x:c>
      <x:c r="I453" s="12" t="n">
        <x:v>109</x:v>
      </x:c>
      <x:c r="J453" s="12" t="n">
        <x:v>40</x:v>
      </x:c>
      <x:c r="K453" s="12" t="n">
        <x:f>IF(D453="A",5,0)</x:f>
        <x:v>5</x:v>
      </x:c>
    </x:row>
    <x:row r="454" ht="30" customHeight="1">
      <x:c r="A454" s="11" t="n">
        <x:f>RANK.EQ(G454,$G$2:$G$523,0)</x:f>
        <x:v>452</x:v>
      </x:c>
      <x:c r="B454" s="7" t="str">
        <x:v>XJ-008</x:v>
      </x:c>
      <x:c r="C454" s="7" t="str">
        <x:v>XJ</x:v>
      </x:c>
      <x:c r="D454" s="7" t="str">
        <x:v>E</x:v>
      </x:c>
      <x:c r="E454" s="8" t="str">
        <x:v>李飞澔</x:v>
      </x:c>
      <x:c r="F454" s="10" t="str">
        <x:v>乌鲁木齐市第一中学(北门校区初中部)</x:v>
      </x:c>
      <x:c r="G454" s="12" t="n">
        <x:f>SUM(H454:J454)+K454</x:f>
        <x:v>254</x:v>
      </x:c>
      <x:c r="H454" s="12" t="n">
        <x:v>100</x:v>
      </x:c>
      <x:c r="I454" s="12" t="n">
        <x:v>56</x:v>
      </x:c>
      <x:c r="J454" s="12" t="n">
        <x:v>98</x:v>
      </x:c>
      <x:c r="K454" s="12" t="n">
        <x:f>IF(D454="A",5,0)</x:f>
        <x:v>0</x:v>
      </x:c>
    </x:row>
    <x:row r="455" ht="30" customHeight="1">
      <x:c r="A455" s="11" t="n">
        <x:f>RANK.EQ(G455,$G$2:$G$523,0)</x:f>
        <x:v>454</x:v>
      </x:c>
      <x:c r="B455" s="7" t="str">
        <x:v>GX-010</x:v>
      </x:c>
      <x:c r="C455" s="7" t="str">
        <x:v>GX</x:v>
      </x:c>
      <x:c r="D455" s="7" t="str">
        <x:v>E</x:v>
      </x:c>
      <x:c r="E455" s="8" t="str">
        <x:v>潘建希</x:v>
      </x:c>
      <x:c r="F455" s="10" t="str">
        <x:v>南宁北附实验学校</x:v>
      </x:c>
      <x:c r="G455" s="12" t="n">
        <x:f>SUM(H455:J455)+K455</x:f>
        <x:v>251</x:v>
      </x:c>
      <x:c r="H455" s="12" t="n">
        <x:v>100</x:v>
      </x:c>
      <x:c r="I455" s="12" t="n">
        <x:v>53</x:v>
      </x:c>
      <x:c r="J455" s="12" t="n">
        <x:v>98</x:v>
      </x:c>
      <x:c r="K455" s="12" t="n">
        <x:f>IF(D455="A",5,0)</x:f>
        <x:v>0</x:v>
      </x:c>
    </x:row>
    <x:row r="456" ht="30" customHeight="1">
      <x:c r="A456" s="11" t="n">
        <x:f>RANK.EQ(G456,$G$2:$G$523,0)</x:f>
        <x:v>455</x:v>
      </x:c>
      <x:c r="B456" s="7" t="str">
        <x:v>XJ-003</x:v>
      </x:c>
      <x:c r="C456" s="7" t="str">
        <x:v>XJ</x:v>
      </x:c>
      <x:c r="D456" s="7" t="str">
        <x:v>A</x:v>
      </x:c>
      <x:c r="E456" s="8" t="str">
        <x:v>唐乾栩</x:v>
      </x:c>
      <x:c r="F456" s="10" t="str">
        <x:v>乌鲁木齐市第一中学（绿谷校区高中部）</x:v>
      </x:c>
      <x:c r="G456" s="12" t="n">
        <x:f>SUM(H456:J456)+K456</x:f>
        <x:v>249</x:v>
      </x:c>
      <x:c r="H456" s="12" t="n">
        <x:v>100</x:v>
      </x:c>
      <x:c r="I456" s="12" t="n">
        <x:v>54</x:v>
      </x:c>
      <x:c r="J456" s="12" t="n">
        <x:v>90</x:v>
      </x:c>
      <x:c r="K456" s="12" t="n">
        <x:f>IF(D456="A",5,0)</x:f>
        <x:v>5</x:v>
      </x:c>
    </x:row>
    <x:row r="457" ht="30" customHeight="1">
      <x:c r="A457" s="11" t="n">
        <x:f>RANK.EQ(G457,$G$2:$G$523,0)</x:f>
        <x:v>456</x:v>
      </x:c>
      <x:c r="B457" s="7" t="str">
        <x:v>HL-004</x:v>
      </x:c>
      <x:c r="C457" s="7" t="str">
        <x:v>HL</x:v>
      </x:c>
      <x:c r="D457" s="7" t="str">
        <x:v>A</x:v>
      </x:c>
      <x:c r="E457" s="8" t="str">
        <x:v>王艺乔</x:v>
      </x:c>
      <x:c r="F457" s="10" t="str">
        <x:v>哈尔滨市第三中学校</x:v>
      </x:c>
      <x:c r="G457" s="12" t="n">
        <x:f>SUM(H457:J457)+K457</x:f>
        <x:v>248</x:v>
      </x:c>
      <x:c r="H457" s="12" t="n">
        <x:v>100</x:v>
      </x:c>
      <x:c r="I457" s="12" t="n">
        <x:v>70</x:v>
      </x:c>
      <x:c r="J457" s="12" t="n">
        <x:v>73</x:v>
      </x:c>
      <x:c r="K457" s="12" t="n">
        <x:f>IF(D457="A",5,0)</x:f>
        <x:v>5</x:v>
      </x:c>
    </x:row>
    <x:row r="458" ht="30" customHeight="1">
      <x:c r="A458" s="11" t="n">
        <x:f>RANK.EQ(G458,$G$2:$G$523,0)</x:f>
        <x:v>457</x:v>
      </x:c>
      <x:c r="B458" s="7" t="str">
        <x:v>LN-005</x:v>
      </x:c>
      <x:c r="C458" s="7" t="str">
        <x:v>LN</x:v>
      </x:c>
      <x:c r="D458" s="7" t="str">
        <x:v>A</x:v>
      </x:c>
      <x:c r="E458" s="8" t="str">
        <x:v>修涵</x:v>
      </x:c>
      <x:c r="F458" s="10" t="str">
        <x:v>大连市第二十四中学</x:v>
      </x:c>
      <x:c r="G458" s="12" t="n">
        <x:f>SUM(H458:J458)+K458</x:f>
        <x:v>245</x:v>
      </x:c>
      <x:c r="H458" s="12" t="n">
        <x:v>100</x:v>
      </x:c>
      <x:c r="I458" s="12" t="n">
        <x:v>42</x:v>
      </x:c>
      <x:c r="J458" s="12" t="n">
        <x:v>98</x:v>
      </x:c>
      <x:c r="K458" s="12" t="n">
        <x:f>IF(D458="A",5,0)</x:f>
        <x:v>5</x:v>
      </x:c>
    </x:row>
    <x:row r="459" ht="30" customHeight="1">
      <x:c r="A459" s="11" t="n">
        <x:f>RANK.EQ(G459,$G$2:$G$523,0)</x:f>
        <x:v>458</x:v>
      </x:c>
      <x:c r="B459" s="7" t="str">
        <x:v>NM-005</x:v>
      </x:c>
      <x:c r="C459" s="7" t="str">
        <x:v>NM</x:v>
      </x:c>
      <x:c r="D459" s="7" t="str">
        <x:v>A</x:v>
      </x:c>
      <x:c r="E459" s="8" t="str">
        <x:v>闫柏军</x:v>
      </x:c>
      <x:c r="F459" s="10" t="str">
        <x:v>鄂托克旗第一中学</x:v>
      </x:c>
      <x:c r="G459" s="12" t="n">
        <x:f>SUM(H459:J459)+K459</x:f>
        <x:v>241</x:v>
      </x:c>
      <x:c r="H459" s="12" t="n">
        <x:v>100</x:v>
      </x:c>
      <x:c r="I459" s="12" t="n">
        <x:v>58</x:v>
      </x:c>
      <x:c r="J459" s="12" t="n">
        <x:v>78</x:v>
      </x:c>
      <x:c r="K459" s="12" t="n">
        <x:f>IF(D459="A",5,0)</x:f>
        <x:v>5</x:v>
      </x:c>
    </x:row>
    <x:row r="460" ht="30" customHeight="1">
      <x:c r="A460" s="11" t="n">
        <x:f>RANK.EQ(G460,$G$2:$G$523,0)</x:f>
        <x:v>458</x:v>
      </x:c>
      <x:c r="B460" s="7" t="str">
        <x:v>SD-035</x:v>
      </x:c>
      <x:c r="C460" s="7" t="str">
        <x:v>SD</x:v>
      </x:c>
      <x:c r="D460" s="7" t="str">
        <x:v>D</x:v>
      </x:c>
      <x:c r="E460" s="8" t="str">
        <x:v>潘则旭</x:v>
      </x:c>
      <x:c r="F460" s="10" t="str">
        <x:v>青岛第二实验初级中学</x:v>
      </x:c>
      <x:c r="G460" s="12" t="n">
        <x:f>SUM(H460:J460)+K460</x:f>
        <x:v>241</x:v>
      </x:c>
      <x:c r="H460" s="12" t="n">
        <x:v>100</x:v>
      </x:c>
      <x:c r="I460" s="12" t="n">
        <x:v>47</x:v>
      </x:c>
      <x:c r="J460" s="12" t="n">
        <x:v>94</x:v>
      </x:c>
      <x:c r="K460" s="12" t="n">
        <x:f>IF(D460="A",5,0)</x:f>
        <x:v>0</x:v>
      </x:c>
    </x:row>
    <x:row r="461" ht="30" customHeight="1">
      <x:c r="A461" s="11" t="n">
        <x:f>RANK.EQ(G461,$G$2:$G$523,0)</x:f>
        <x:v>460</x:v>
      </x:c>
      <x:c r="B461" s="7" t="str">
        <x:v>XJ-005</x:v>
      </x:c>
      <x:c r="C461" s="7" t="str">
        <x:v>XJ</x:v>
      </x:c>
      <x:c r="D461" s="7" t="str">
        <x:v>A</x:v>
      </x:c>
      <x:c r="E461" s="8" t="str">
        <x:v>郑子良</x:v>
      </x:c>
      <x:c r="F461" s="10" t="str">
        <x:v>乌鲁木齐市第一中学（绿谷校区高中部）</x:v>
      </x:c>
      <x:c r="G461" s="12" t="n">
        <x:f>SUM(H461:J461)+K461</x:f>
        <x:v>238</x:v>
      </x:c>
      <x:c r="H461" s="12" t="n">
        <x:v>100</x:v>
      </x:c>
      <x:c r="I461" s="12" t="n">
        <x:v>78</x:v>
      </x:c>
      <x:c r="J461" s="12" t="n">
        <x:v>55</x:v>
      </x:c>
      <x:c r="K461" s="12" t="n">
        <x:f>IF(D461="A",5,0)</x:f>
        <x:v>5</x:v>
      </x:c>
    </x:row>
    <x:row r="462" ht="30" customHeight="1">
      <x:c r="A462" s="11" t="n">
        <x:f>RANK.EQ(G462,$G$2:$G$523,0)</x:f>
        <x:v>461</x:v>
      </x:c>
      <x:c r="B462" s="7" t="str">
        <x:v>ZJ-044</x:v>
      </x:c>
      <x:c r="C462" s="7" t="str">
        <x:v>ZJ</x:v>
      </x:c>
      <x:c r="D462" s="7" t="str">
        <x:v>D</x:v>
      </x:c>
      <x:c r="E462" s="8" t="str">
        <x:v>周仪修</x:v>
      </x:c>
      <x:c r="F462" s="10" t="str">
        <x:v>杭州学军中学桐庐学校</x:v>
      </x:c>
      <x:c r="G462" s="12" t="n">
        <x:f>SUM(H462:J462)+K462</x:f>
        <x:v>235</x:v>
      </x:c>
      <x:c r="H462" s="12" t="n">
        <x:v>100</x:v>
      </x:c>
      <x:c r="I462" s="12" t="n">
        <x:v>40</x:v>
      </x:c>
      <x:c r="J462" s="12" t="n">
        <x:v>95</x:v>
      </x:c>
      <x:c r="K462" s="12" t="n">
        <x:f>IF(D462="A",5,0)</x:f>
        <x:v>0</x:v>
      </x:c>
    </x:row>
    <x:row r="463" ht="30" customHeight="1">
      <x:c r="A463" s="11" t="n">
        <x:f>RANK.EQ(G463,$G$2:$G$523,0)</x:f>
        <x:v>462</x:v>
      </x:c>
      <x:c r="B463" s="7" t="str">
        <x:v>HL-010</x:v>
      </x:c>
      <x:c r="C463" s="7" t="str">
        <x:v>HL</x:v>
      </x:c>
      <x:c r="D463" s="7" t="str">
        <x:v>E</x:v>
      </x:c>
      <x:c r="E463" s="8" t="str">
        <x:v>杨逸伦</x:v>
      </x:c>
      <x:c r="F463" s="10" t="str">
        <x:v>哈尔滨市第一〇九中学校</x:v>
      </x:c>
      <x:c r="G463" s="12" t="n">
        <x:f>SUM(H463:J463)+K463</x:f>
        <x:v>233</x:v>
      </x:c>
      <x:c r="H463" s="12" t="n">
        <x:v>98</x:v>
      </x:c>
      <x:c r="I463" s="12" t="n">
        <x:v>86</x:v>
      </x:c>
      <x:c r="J463" s="12" t="n">
        <x:v>49</x:v>
      </x:c>
      <x:c r="K463" s="12" t="n">
        <x:f>IF(D463="A",5,0)</x:f>
        <x:v>0</x:v>
      </x:c>
    </x:row>
    <x:row r="464" ht="30" customHeight="1">
      <x:c r="A464" s="11" t="n">
        <x:f>RANK.EQ(G464,$G$2:$G$523,0)</x:f>
        <x:v>463</x:v>
      </x:c>
      <x:c r="B464" s="7" t="str">
        <x:v>GD-011</x:v>
      </x:c>
      <x:c r="C464" s="7" t="str">
        <x:v>GD</x:v>
      </x:c>
      <x:c r="D464" s="7" t="str">
        <x:v>B</x:v>
      </x:c>
      <x:c r="E464" s="8" t="str">
        <x:v>吕林熹</x:v>
      </x:c>
      <x:c r="F464" s="10" t="str">
        <x:v>华南师范大学附属中学</x:v>
      </x:c>
      <x:c r="G464" s="12" t="n">
        <x:f>SUM(H464:J464)+K464</x:f>
        <x:v>232</x:v>
      </x:c>
      <x:c r="H464" s="12" t="n">
        <x:v>100</x:v>
      </x:c>
      <x:c r="I464" s="12" t="n">
        <x:v>62</x:v>
      </x:c>
      <x:c r="J464" s="12" t="n">
        <x:v>70</x:v>
      </x:c>
      <x:c r="K464" s="12" t="n">
        <x:f>IF(D464="A",5,0)</x:f>
        <x:v>0</x:v>
      </x:c>
    </x:row>
    <x:row r="465" ht="30" customHeight="1">
      <x:c r="A465" s="11" t="n">
        <x:f>RANK.EQ(G465,$G$2:$G$523,0)</x:f>
        <x:v>463</x:v>
      </x:c>
      <x:c r="B465" s="7" t="str">
        <x:v>SX-002</x:v>
      </x:c>
      <x:c r="C465" s="7" t="str">
        <x:v>SX</x:v>
      </x:c>
      <x:c r="D465" s="7" t="str">
        <x:v>A</x:v>
      </x:c>
      <x:c r="E465" s="8" t="str">
        <x:v>周志豪</x:v>
      </x:c>
      <x:c r="F465" s="10" t="str">
        <x:v>山西大学附属中学校</x:v>
      </x:c>
      <x:c r="G465" s="12" t="n">
        <x:f>SUM(H465:J465)+K465</x:f>
        <x:v>232</x:v>
      </x:c>
      <x:c r="H465" s="12" t="n">
        <x:v>99</x:v>
      </x:c>
      <x:c r="I465" s="12" t="n">
        <x:v>24</x:v>
      </x:c>
      <x:c r="J465" s="12" t="n">
        <x:v>104</x:v>
      </x:c>
      <x:c r="K465" s="12" t="n">
        <x:f>IF(D465="A",5,0)</x:f>
        <x:v>5</x:v>
      </x:c>
    </x:row>
    <x:row r="466" ht="30" customHeight="1">
      <x:c r="A466" s="11" t="n">
        <x:f>RANK.EQ(G466,$G$2:$G$523,0)</x:f>
        <x:v>465</x:v>
      </x:c>
      <x:c r="B466" s="7" t="str">
        <x:v>HN-003</x:v>
      </x:c>
      <x:c r="C466" s="7" t="str">
        <x:v>HN</x:v>
      </x:c>
      <x:c r="D466" s="7" t="str">
        <x:v>A</x:v>
      </x:c>
      <x:c r="E466" s="8" t="str">
        <x:v>胡蝶</x:v>
      </x:c>
      <x:c r="F466" s="10" t="str">
        <x:v>长沙市长郡中学</x:v>
      </x:c>
      <x:c r="G466" s="12" t="n">
        <x:f>SUM(H466:J466)+K466</x:f>
        <x:v>231</x:v>
      </x:c>
      <x:c r="H466" s="12" t="n">
        <x:v>100</x:v>
      </x:c>
      <x:c r="I466" s="12" t="n">
        <x:v>52</x:v>
      </x:c>
      <x:c r="J466" s="12" t="n">
        <x:v>74</x:v>
      </x:c>
      <x:c r="K466" s="12" t="n">
        <x:f>IF(D466="A",5,0)</x:f>
        <x:v>5</x:v>
      </x:c>
    </x:row>
    <x:row r="467" ht="30" customHeight="1">
      <x:c r="A467" s="11" t="n">
        <x:f>RANK.EQ(G467,$G$2:$G$523,0)</x:f>
        <x:v>465</x:v>
      </x:c>
      <x:c r="B467" s="7" t="str">
        <x:v>XJ-007</x:v>
      </x:c>
      <x:c r="C467" s="7" t="str">
        <x:v>XJ</x:v>
      </x:c>
      <x:c r="D467" s="7" t="str">
        <x:v>B</x:v>
      </x:c>
      <x:c r="E467" s="8" t="str">
        <x:v>杨思远</x:v>
      </x:c>
      <x:c r="F467" s="10" t="str">
        <x:v>乌鲁木齐市华兵实验中学</x:v>
      </x:c>
      <x:c r="G467" s="12" t="n">
        <x:f>SUM(H467:J467)+K467</x:f>
        <x:v>231</x:v>
      </x:c>
      <x:c r="H467" s="12" t="n">
        <x:v>100</x:v>
      </x:c>
      <x:c r="I467" s="12" t="n">
        <x:v>78</x:v>
      </x:c>
      <x:c r="J467" s="12" t="n">
        <x:v>53</x:v>
      </x:c>
      <x:c r="K467" s="12" t="n">
        <x:f>IF(D467="A",5,0)</x:f>
        <x:v>0</x:v>
      </x:c>
    </x:row>
    <x:row r="468" ht="30" customHeight="1">
      <x:c r="A468" s="11" t="n">
        <x:f>RANK.EQ(G468,$G$2:$G$523,0)</x:f>
        <x:v>467</x:v>
      </x:c>
      <x:c r="B468" s="7" t="str">
        <x:v>SN-009</x:v>
      </x:c>
      <x:c r="C468" s="7" t="str">
        <x:v>SN</x:v>
      </x:c>
      <x:c r="D468" s="7" t="str">
        <x:v>D</x:v>
      </x:c>
      <x:c r="E468" s="8" t="str">
        <x:v>夏菁阳</x:v>
      </x:c>
      <x:c r="F468" s="10" t="str">
        <x:v>西安高新第一中学</x:v>
      </x:c>
      <x:c r="G468" s="12" t="n">
        <x:f>SUM(H468:J468)+K468</x:f>
        <x:v>228</x:v>
      </x:c>
      <x:c r="H468" s="12" t="n">
        <x:v>99</x:v>
      </x:c>
      <x:c r="I468" s="12" t="n">
        <x:v>86</x:v>
      </x:c>
      <x:c r="J468" s="12" t="n">
        <x:v>43</x:v>
      </x:c>
      <x:c r="K468" s="12" t="n">
        <x:f>IF(D468="A",5,0)</x:f>
        <x:v>0</x:v>
      </x:c>
    </x:row>
    <x:row r="469" ht="30" customHeight="1">
      <x:c r="A469" s="11" t="n">
        <x:f>RANK.EQ(G469,$G$2:$G$523,0)</x:f>
        <x:v>468</x:v>
      </x:c>
      <x:c r="B469" s="7" t="str">
        <x:v>HN-017</x:v>
      </x:c>
      <x:c r="C469" s="7" t="str">
        <x:v>HN</x:v>
      </x:c>
      <x:c r="D469" s="7" t="str">
        <x:v>D</x:v>
      </x:c>
      <x:c r="E469" s="8" t="str">
        <x:v>雷懿浩</x:v>
      </x:c>
      <x:c r="F469" s="10" t="str">
        <x:v>长沙市湘郡培粹实验中学</x:v>
      </x:c>
      <x:c r="G469" s="12" t="n">
        <x:f>SUM(H469:J469)+K469</x:f>
        <x:v>223</x:v>
      </x:c>
      <x:c r="H469" s="12" t="n">
        <x:v>97</x:v>
      </x:c>
      <x:c r="I469" s="12" t="n">
        <x:v>22</x:v>
      </x:c>
      <x:c r="J469" s="12" t="n">
        <x:v>104</x:v>
      </x:c>
      <x:c r="K469" s="12" t="n">
        <x:f>IF(D469="A",5,0)</x:f>
        <x:v>0</x:v>
      </x:c>
    </x:row>
    <x:row r="470" ht="30" customHeight="1">
      <x:c r="A470" s="11" t="n">
        <x:f>RANK.EQ(G470,$G$2:$G$523,0)</x:f>
        <x:v>468</x:v>
      </x:c>
      <x:c r="B470" s="7" t="str">
        <x:v>ZJ-023</x:v>
      </x:c>
      <x:c r="C470" s="7" t="str">
        <x:v>ZJ</x:v>
      </x:c>
      <x:c r="D470" s="7" t="str">
        <x:v>D</x:v>
      </x:c>
      <x:c r="E470" s="8" t="str">
        <x:v>陈佳润</x:v>
      </x:c>
      <x:c r="F470" s="10" t="str">
        <x:v>浙江金华第一中学</x:v>
      </x:c>
      <x:c r="G470" s="12" t="n">
        <x:f>SUM(H470:J470)+K470</x:f>
        <x:v>223</x:v>
      </x:c>
      <x:c r="H470" s="12" t="n">
        <x:v>98</x:v>
      </x:c>
      <x:c r="I470" s="12" t="n">
        <x:v>15</x:v>
      </x:c>
      <x:c r="J470" s="12" t="n">
        <x:v>110</x:v>
      </x:c>
      <x:c r="K470" s="12" t="n">
        <x:f>IF(D470="A",5,0)</x:f>
        <x:v>0</x:v>
      </x:c>
    </x:row>
    <x:row r="471" ht="30" customHeight="1">
      <x:c r="A471" s="11" t="n">
        <x:f>RANK.EQ(G471,$G$2:$G$523,0)</x:f>
        <x:v>470</x:v>
      </x:c>
      <x:c r="B471" s="7" t="str">
        <x:v>AH-005</x:v>
      </x:c>
      <x:c r="C471" s="7" t="str">
        <x:v>AH</x:v>
      </x:c>
      <x:c r="D471" s="7" t="str">
        <x:v>A</x:v>
      </x:c>
      <x:c r="E471" s="8" t="str">
        <x:v>孙梓珊</x:v>
      </x:c>
      <x:c r="F471" s="10" t="str">
        <x:v>安徽师范大学附属中学</x:v>
      </x:c>
      <x:c r="G471" s="12" t="n">
        <x:f>SUM(H471:J471)+K471</x:f>
        <x:v>222</x:v>
      </x:c>
      <x:c r="H471" s="12" t="n">
        <x:v>100</x:v>
      </x:c>
      <x:c r="I471" s="12" t="n">
        <x:v>28</x:v>
      </x:c>
      <x:c r="J471" s="12" t="n">
        <x:v>89</x:v>
      </x:c>
      <x:c r="K471" s="12" t="n">
        <x:f>IF(D471="A",5,0)</x:f>
        <x:v>5</x:v>
      </x:c>
    </x:row>
    <x:row r="472" ht="30" customHeight="1">
      <x:c r="A472" s="11" t="n">
        <x:f>RANK.EQ(G472,$G$2:$G$523,0)</x:f>
        <x:v>471</x:v>
      </x:c>
      <x:c r="B472" s="7" t="str">
        <x:v>SN-013</x:v>
      </x:c>
      <x:c r="C472" s="7" t="str">
        <x:v>SN</x:v>
      </x:c>
      <x:c r="D472" s="7" t="str">
        <x:v>D</x:v>
      </x:c>
      <x:c r="E472" s="8" t="str">
        <x:v>吴红燊</x:v>
      </x:c>
      <x:c r="F472" s="10" t="str">
        <x:v>西安湖滨中学</x:v>
      </x:c>
      <x:c r="G472" s="12" t="n">
        <x:f>SUM(H472:J472)+K472</x:f>
        <x:v>215</x:v>
      </x:c>
      <x:c r="H472" s="12" t="n">
        <x:v>99</x:v>
      </x:c>
      <x:c r="I472" s="12" t="n">
        <x:v>16</x:v>
      </x:c>
      <x:c r="J472" s="12" t="n">
        <x:v>100</x:v>
      </x:c>
      <x:c r="K472" s="12" t="n">
        <x:f>IF(D472="A",5,0)</x:f>
        <x:v>0</x:v>
      </x:c>
    </x:row>
    <x:row r="473" ht="30" customHeight="1">
      <x:c r="A473" s="11" t="n">
        <x:f>RANK.EQ(G473,$G$2:$G$523,0)</x:f>
        <x:v>471</x:v>
      </x:c>
      <x:c r="B473" s="7" t="str">
        <x:v>YN-007</x:v>
      </x:c>
      <x:c r="C473" s="7" t="str">
        <x:v>YN</x:v>
      </x:c>
      <x:c r="D473" s="7" t="str">
        <x:v>B</x:v>
      </x:c>
      <x:c r="E473" s="8" t="str">
        <x:v>闫斯博</x:v>
      </x:c>
      <x:c r="F473" s="10" t="str">
        <x:v>蒙自实验中学</x:v>
      </x:c>
      <x:c r="G473" s="12" t="n">
        <x:f>SUM(H473:J473)+K473</x:f>
        <x:v>215</x:v>
      </x:c>
      <x:c r="H473" s="12" t="n">
        <x:v>100</x:v>
      </x:c>
      <x:c r="I473" s="12" t="n">
        <x:v>45</x:v>
      </x:c>
      <x:c r="J473" s="12" t="n">
        <x:v>70</x:v>
      </x:c>
      <x:c r="K473" s="12" t="n">
        <x:f>IF(D473="A",5,0)</x:f>
        <x:v>0</x:v>
      </x:c>
    </x:row>
    <x:row r="474" ht="30" customHeight="1">
      <x:c r="A474" s="11" t="n">
        <x:f>RANK.EQ(G474,$G$2:$G$523,0)</x:f>
        <x:v>473</x:v>
      </x:c>
      <x:c r="B474" s="7" t="str">
        <x:v>JX-005</x:v>
      </x:c>
      <x:c r="C474" s="7" t="str">
        <x:v>JX</x:v>
      </x:c>
      <x:c r="D474" s="7" t="str">
        <x:v>A</x:v>
      </x:c>
      <x:c r="E474" s="8" t="str">
        <x:v>陈聆心</x:v>
      </x:c>
      <x:c r="F474" s="10" t="str">
        <x:v>南昌市第二中学</x:v>
      </x:c>
      <x:c r="G474" s="12" t="n">
        <x:f>SUM(H474:J474)+K474</x:f>
        <x:v>209</x:v>
      </x:c>
      <x:c r="H474" s="12" t="n">
        <x:v>100</x:v>
      </x:c>
      <x:c r="I474" s="12" t="n">
        <x:v>34</x:v>
      </x:c>
      <x:c r="J474" s="12" t="n">
        <x:v>70</x:v>
      </x:c>
      <x:c r="K474" s="12" t="n">
        <x:f>IF(D474="A",5,0)</x:f>
        <x:v>5</x:v>
      </x:c>
    </x:row>
    <x:row r="475" ht="30" customHeight="1">
      <x:c r="A475" s="11" t="n">
        <x:f>RANK.EQ(G475,$G$2:$G$523,0)</x:f>
        <x:v>473</x:v>
      </x:c>
      <x:c r="B475" s="7" t="str">
        <x:v>YN-006</x:v>
      </x:c>
      <x:c r="C475" s="7" t="str">
        <x:v>YN</x:v>
      </x:c>
      <x:c r="D475" s="7" t="str">
        <x:v>B</x:v>
      </x:c>
      <x:c r="E475" s="8" t="str">
        <x:v>靳函</x:v>
      </x:c>
      <x:c r="F475" s="10" t="str">
        <x:v>云南省昆明市第十中学</x:v>
      </x:c>
      <x:c r="G475" s="12" t="n">
        <x:f>SUM(H475:J475)+K475</x:f>
        <x:v>209</x:v>
      </x:c>
      <x:c r="H475" s="12" t="n">
        <x:v>100</x:v>
      </x:c>
      <x:c r="I475" s="12" t="n">
        <x:v>39</x:v>
      </x:c>
      <x:c r="J475" s="12" t="n">
        <x:v>70</x:v>
      </x:c>
      <x:c r="K475" s="12" t="n">
        <x:f>IF(D475="A",5,0)</x:f>
        <x:v>0</x:v>
      </x:c>
    </x:row>
    <x:row r="476" ht="30" customHeight="1">
      <x:c r="A476" s="11" t="n">
        <x:f>RANK.EQ(G476,$G$2:$G$523,0)</x:f>
        <x:v>475</x:v>
      </x:c>
      <x:c r="B476" s="7" t="str">
        <x:v>TJ-007</x:v>
      </x:c>
      <x:c r="C476" s="7" t="str">
        <x:v>TJ</x:v>
      </x:c>
      <x:c r="D476" s="7" t="str">
        <x:v>B</x:v>
      </x:c>
      <x:c r="E476" s="8" t="str">
        <x:v>孙致远</x:v>
      </x:c>
      <x:c r="F476" s="10" t="str">
        <x:v>天津市武清区杨村第一中学</x:v>
      </x:c>
      <x:c r="G476" s="12" t="n">
        <x:f>SUM(H476:J476)+K476</x:f>
        <x:v>207</x:v>
      </x:c>
      <x:c r="H476" s="12" t="n">
        <x:v>99</x:v>
      </x:c>
      <x:c r="I476" s="12" t="n">
        <x:v>8</x:v>
      </x:c>
      <x:c r="J476" s="12" t="n">
        <x:v>100</x:v>
      </x:c>
      <x:c r="K476" s="12" t="n">
        <x:f>IF(D476="A",5,0)</x:f>
        <x:v>0</x:v>
      </x:c>
    </x:row>
    <x:row r="477" ht="30" customHeight="1">
      <x:c r="A477" s="11" t="n">
        <x:f>RANK.EQ(G477,$G$2:$G$523,0)</x:f>
        <x:v>476</x:v>
      </x:c>
      <x:c r="B477" s="7" t="str">
        <x:v>ZJ-016</x:v>
      </x:c>
      <x:c r="C477" s="7" t="str">
        <x:v>ZJ</x:v>
      </x:c>
      <x:c r="D477" s="7" t="str">
        <x:v>B</x:v>
      </x:c>
      <x:c r="E477" s="8" t="str">
        <x:v>余秋凝</x:v>
      </x:c>
      <x:c r="F477" s="10" t="str">
        <x:v>浙江省温州中学</x:v>
      </x:c>
      <x:c r="G477" s="12" t="n">
        <x:f>SUM(H477:J477)+K477</x:f>
        <x:v>206</x:v>
      </x:c>
      <x:c r="H477" s="12" t="n">
        <x:v>100</x:v>
      </x:c>
      <x:c r="I477" s="12" t="n">
        <x:v>42</x:v>
      </x:c>
      <x:c r="J477" s="12" t="n">
        <x:v>64</x:v>
      </x:c>
      <x:c r="K477" s="12" t="n">
        <x:f>IF(D477="A",5,0)</x:f>
        <x:v>0</x:v>
      </x:c>
    </x:row>
    <x:row r="478" ht="30" customHeight="1">
      <x:c r="A478" s="11" t="n">
        <x:f>RANK.EQ(G478,$G$2:$G$523,0)</x:f>
        <x:v>477</x:v>
      </x:c>
      <x:c r="B478" s="7" t="str">
        <x:v>NX-001</x:v>
      </x:c>
      <x:c r="C478" s="7" t="str">
        <x:v>NX</x:v>
      </x:c>
      <x:c r="D478" s="7" t="str">
        <x:v>A</x:v>
      </x:c>
      <x:c r="E478" s="8" t="str">
        <x:v>王梓涵</x:v>
      </x:c>
      <x:c r="F478" s="10" t="str">
        <x:v>宁夏银川一中</x:v>
      </x:c>
      <x:c r="G478" s="12" t="n">
        <x:f>SUM(H478:J478)+K478</x:f>
        <x:v>205</x:v>
      </x:c>
      <x:c r="H478" s="12" t="n">
        <x:v>99</x:v>
      </x:c>
      <x:c r="I478" s="12" t="n">
        <x:v>62</x:v>
      </x:c>
      <x:c r="J478" s="12" t="n">
        <x:v>39</x:v>
      </x:c>
      <x:c r="K478" s="12" t="n">
        <x:f>IF(D478="A",5,0)</x:f>
        <x:v>5</x:v>
      </x:c>
    </x:row>
    <x:row r="479" ht="30" customHeight="1">
      <x:c r="A479" s="11" t="n">
        <x:f>RANK.EQ(G479,$G$2:$G$523,0)</x:f>
        <x:v>477</x:v>
      </x:c>
      <x:c r="B479" s="7" t="str">
        <x:v>ZJ-029</x:v>
      </x:c>
      <x:c r="C479" s="7" t="str">
        <x:v>ZJ</x:v>
      </x:c>
      <x:c r="D479" s="7" t="str">
        <x:v>D</x:v>
      </x:c>
      <x:c r="E479" s="8" t="str">
        <x:v>邵泽楠</x:v>
      </x:c>
      <x:c r="F479" s="10" t="str">
        <x:v>余姚市高风中学</x:v>
      </x:c>
      <x:c r="G479" s="12" t="n">
        <x:f>SUM(H479:J479)+K479</x:f>
        <x:v>205</x:v>
      </x:c>
      <x:c r="H479" s="12" t="n">
        <x:v>99</x:v>
      </x:c>
      <x:c r="I479" s="12" t="n">
        <x:v>32</x:v>
      </x:c>
      <x:c r="J479" s="12" t="n">
        <x:v>74</x:v>
      </x:c>
      <x:c r="K479" s="12" t="n">
        <x:f>IF(D479="A",5,0)</x:f>
        <x:v>0</x:v>
      </x:c>
    </x:row>
    <x:row r="480" ht="30" customHeight="1">
      <x:c r="A480" s="11" t="n">
        <x:f>RANK.EQ(G480,$G$2:$G$523,0)</x:f>
        <x:v>479</x:v>
      </x:c>
      <x:c r="B480" s="7" t="str">
        <x:v>HI-007</x:v>
      </x:c>
      <x:c r="C480" s="7" t="str">
        <x:v>HI</x:v>
      </x:c>
      <x:c r="D480" s="7" t="str">
        <x:v>B</x:v>
      </x:c>
      <x:c r="E480" s="8" t="str">
        <x:v>胡家华</x:v>
      </x:c>
      <x:c r="F480" s="10" t="str">
        <x:v>中国人民大学附属中学三亚学校</x:v>
      </x:c>
      <x:c r="G480" s="12" t="n">
        <x:f>SUM(H480:J480)+K480</x:f>
        <x:v>204</x:v>
      </x:c>
      <x:c r="H480" s="12" t="n">
        <x:v>100</x:v>
      </x:c>
      <x:c r="I480" s="12" t="n">
        <x:v>26</x:v>
      </x:c>
      <x:c r="J480" s="12" t="n">
        <x:v>78</x:v>
      </x:c>
      <x:c r="K480" s="12" t="n">
        <x:f>IF(D480="A",5,0)</x:f>
        <x:v>0</x:v>
      </x:c>
    </x:row>
    <x:row r="481" ht="30" customHeight="1">
      <x:c r="A481" s="11" t="n">
        <x:f>RANK.EQ(G481,$G$2:$G$523,0)</x:f>
        <x:v>479</x:v>
      </x:c>
      <x:c r="B481" s="7" t="str">
        <x:v>SX-007</x:v>
      </x:c>
      <x:c r="C481" s="7" t="str">
        <x:v>SX</x:v>
      </x:c>
      <x:c r="D481" s="7" t="str">
        <x:v>B</x:v>
      </x:c>
      <x:c r="E481" s="8" t="str">
        <x:v>杜成竹</x:v>
      </x:c>
      <x:c r="F481" s="10" t="str">
        <x:v>太原市第五中学校</x:v>
      </x:c>
      <x:c r="G481" s="12" t="n">
        <x:f>SUM(H481:J481)+K481</x:f>
        <x:v>204</x:v>
      </x:c>
      <x:c r="H481" s="12" t="n">
        <x:v>99</x:v>
      </x:c>
      <x:c r="I481" s="12" t="n">
        <x:v>45</x:v>
      </x:c>
      <x:c r="J481" s="12" t="n">
        <x:v>60</x:v>
      </x:c>
      <x:c r="K481" s="12" t="n">
        <x:f>IF(D481="A",5,0)</x:f>
        <x:v>0</x:v>
      </x:c>
    </x:row>
    <x:row r="482" ht="30" customHeight="1">
      <x:c r="A482" s="11" t="n">
        <x:f>RANK.EQ(G482,$G$2:$G$523,0)</x:f>
        <x:v>481</x:v>
      </x:c>
      <x:c r="B482" s="7" t="str">
        <x:v>SH-005</x:v>
      </x:c>
      <x:c r="C482" s="7" t="str">
        <x:v>SH</x:v>
      </x:c>
      <x:c r="D482" s="7" t="str">
        <x:v>A</x:v>
      </x:c>
      <x:c r="E482" s="8" t="str">
        <x:v>闻艺琳</x:v>
      </x:c>
      <x:c r="F482" s="10" t="str">
        <x:v>上海市上海中学</x:v>
      </x:c>
      <x:c r="G482" s="12" t="n">
        <x:f>SUM(H482:J482)+K482</x:f>
        <x:v>203</x:v>
      </x:c>
      <x:c r="H482" s="12" t="n">
        <x:v>100</x:v>
      </x:c>
      <x:c r="I482" s="12" t="n">
        <x:v>39</x:v>
      </x:c>
      <x:c r="J482" s="12" t="n">
        <x:v>59</x:v>
      </x:c>
      <x:c r="K482" s="12" t="n">
        <x:f>IF(D482="A",5,0)</x:f>
        <x:v>5</x:v>
      </x:c>
    </x:row>
    <x:row r="483" ht="30" customHeight="1">
      <x:c r="A483" s="11" t="n">
        <x:f>RANK.EQ(G483,$G$2:$G$523,0)</x:f>
        <x:v>482</x:v>
      </x:c>
      <x:c r="B483" s="7" t="str">
        <x:v>GX-002</x:v>
      </x:c>
      <x:c r="C483" s="7" t="str">
        <x:v>GX</x:v>
      </x:c>
      <x:c r="D483" s="7" t="str">
        <x:v>A</x:v>
      </x:c>
      <x:c r="E483" s="8" t="str">
        <x:v>陈俊伟</x:v>
      </x:c>
      <x:c r="F483" s="10" t="str">
        <x:v>柳州铁一中学</x:v>
      </x:c>
      <x:c r="G483" s="12" t="n">
        <x:f>SUM(H483:J483)+K483</x:f>
        <x:v>201</x:v>
      </x:c>
      <x:c r="H483" s="12" t="n">
        <x:v>100</x:v>
      </x:c>
      <x:c r="I483" s="12" t="n">
        <x:v>36</x:v>
      </x:c>
      <x:c r="J483" s="12" t="n">
        <x:v>60</x:v>
      </x:c>
      <x:c r="K483" s="12" t="n">
        <x:f>IF(D483="A",5,0)</x:f>
        <x:v>5</x:v>
      </x:c>
    </x:row>
    <x:row r="484" ht="30" customHeight="1">
      <x:c r="A484" s="11" t="n">
        <x:f>RANK.EQ(G484,$G$2:$G$523,0)</x:f>
        <x:v>483</x:v>
      </x:c>
      <x:c r="B484" s="7" t="str">
        <x:v>ZJ-039</x:v>
      </x:c>
      <x:c r="C484" s="7" t="str">
        <x:v>ZJ</x:v>
      </x:c>
      <x:c r="D484" s="7" t="str">
        <x:v>D</x:v>
      </x:c>
      <x:c r="E484" s="8" t="str">
        <x:v>杨悦聪</x:v>
      </x:c>
      <x:c r="F484" s="10" t="str">
        <x:v>杭州江南实验学校</x:v>
      </x:c>
      <x:c r="G484" s="12" t="n">
        <x:f>SUM(H484:J484)+K484</x:f>
        <x:v>199</x:v>
      </x:c>
      <x:c r="H484" s="12" t="n">
        <x:v>98</x:v>
      </x:c>
      <x:c r="I484" s="12" t="n">
        <x:v>36</x:v>
      </x:c>
      <x:c r="J484" s="12" t="n">
        <x:v>65</x:v>
      </x:c>
      <x:c r="K484" s="12" t="n">
        <x:f>IF(D484="A",5,0)</x:f>
        <x:v>0</x:v>
      </x:c>
    </x:row>
    <x:row r="485" ht="30" customHeight="1">
      <x:c r="A485" s="11" t="n">
        <x:f>RANK.EQ(G485,$G$2:$G$523,0)</x:f>
        <x:v>484</x:v>
      </x:c>
      <x:c r="B485" s="7" t="str">
        <x:v>HI-008</x:v>
      </x:c>
      <x:c r="C485" s="7" t="str">
        <x:v>HI</x:v>
      </x:c>
      <x:c r="D485" s="7" t="str">
        <x:v>E</x:v>
      </x:c>
      <x:c r="E485" s="8" t="str">
        <x:v>杨中天</x:v>
      </x:c>
      <x:c r="F485" s="10" t="str">
        <x:v>上海外国语大学三亚附属中学</x:v>
      </x:c>
      <x:c r="G485" s="12" t="n">
        <x:f>SUM(H485:J485)+K485</x:f>
        <x:v>191</x:v>
      </x:c>
      <x:c r="H485" s="12" t="n">
        <x:v>99</x:v>
      </x:c>
      <x:c r="I485" s="12" t="n">
        <x:v>62</x:v>
      </x:c>
      <x:c r="J485" s="12" t="n">
        <x:v>30</x:v>
      </x:c>
      <x:c r="K485" s="12" t="n">
        <x:f>IF(D485="A",5,0)</x:f>
        <x:v>0</x:v>
      </x:c>
    </x:row>
    <x:row r="486" ht="30" customHeight="1">
      <x:c r="A486" s="11" t="n">
        <x:f>RANK.EQ(G486,$G$2:$G$523,0)</x:f>
        <x:v>485</x:v>
      </x:c>
      <x:c r="B486" s="7" t="str">
        <x:v>MO-002</x:v>
      </x:c>
      <x:c r="C486" s="7" t="str">
        <x:v>MO</x:v>
      </x:c>
      <x:c r="D486" s="7" t="str">
        <x:v>A</x:v>
      </x:c>
      <x:c r="E486" s="8" t="str">
        <x:v>杜澤誠</x:v>
      </x:c>
      <x:c r="F486" s="10" t="str">
        <x:v>培正中學</x:v>
      </x:c>
      <x:c r="G486" s="12" t="n">
        <x:f>SUM(H486:J486)+K486</x:f>
        <x:v>189</x:v>
      </x:c>
      <x:c r="H486" s="12" t="n">
        <x:v>98</x:v>
      </x:c>
      <x:c r="I486" s="12" t="n">
        <x:v>16</x:v>
      </x:c>
      <x:c r="J486" s="12" t="n">
        <x:v>70</x:v>
      </x:c>
      <x:c r="K486" s="12" t="n">
        <x:f>IF(D486="A",5,0)</x:f>
        <x:v>5</x:v>
      </x:c>
    </x:row>
    <x:row r="487" ht="30" customHeight="1">
      <x:c r="A487" s="11" t="n">
        <x:f>RANK.EQ(G487,$G$2:$G$523,0)</x:f>
        <x:v>486</x:v>
      </x:c>
      <x:c r="B487" s="7" t="str">
        <x:v>MO-004</x:v>
      </x:c>
      <x:c r="C487" s="7" t="str">
        <x:v>MO</x:v>
      </x:c>
      <x:c r="D487" s="7" t="str">
        <x:v>A</x:v>
      </x:c>
      <x:c r="E487" s="8" t="str">
        <x:v>關智謙</x:v>
      </x:c>
      <x:c r="F487" s="10" t="str">
        <x:v>勞校中學</x:v>
      </x:c>
      <x:c r="G487" s="12" t="n">
        <x:f>SUM(H487:J487)+K487</x:f>
        <x:v>186</x:v>
      </x:c>
      <x:c r="H487" s="12" t="n">
        <x:v>98</x:v>
      </x:c>
      <x:c r="I487" s="12" t="n">
        <x:v>40</x:v>
      </x:c>
      <x:c r="J487" s="12" t="n">
        <x:v>43</x:v>
      </x:c>
      <x:c r="K487" s="12" t="n">
        <x:f>IF(D487="A",5,0)</x:f>
        <x:v>5</x:v>
      </x:c>
    </x:row>
    <x:row r="488" ht="30" customHeight="1">
      <x:c r="A488" s="11" t="n">
        <x:f>RANK.EQ(G488,$G$2:$G$523,0)</x:f>
        <x:v>487</x:v>
      </x:c>
      <x:c r="B488" s="7" t="str">
        <x:v>JL-006</x:v>
      </x:c>
      <x:c r="C488" s="7" t="str">
        <x:v>JL</x:v>
      </x:c>
      <x:c r="D488" s="7" t="str">
        <x:v>B</x:v>
      </x:c>
      <x:c r="E488" s="8" t="str">
        <x:v>李东霖</x:v>
      </x:c>
      <x:c r="F488" s="10" t="str">
        <x:v>长春市十一高中</x:v>
      </x:c>
      <x:c r="G488" s="12" t="n">
        <x:f>SUM(H488:J488)+K488</x:f>
        <x:v>180</x:v>
      </x:c>
      <x:c r="H488" s="12" t="n">
        <x:v>99</x:v>
      </x:c>
      <x:c r="I488" s="12" t="n">
        <x:v>42</x:v>
      </x:c>
      <x:c r="J488" s="12" t="n">
        <x:v>39</x:v>
      </x:c>
      <x:c r="K488" s="12" t="n">
        <x:f>IF(D488="A",5,0)</x:f>
        <x:v>0</x:v>
      </x:c>
    </x:row>
    <x:row r="489" ht="30" customHeight="1">
      <x:c r="A489" s="11" t="n">
        <x:f>RANK.EQ(G489,$G$2:$G$523,0)</x:f>
        <x:v>488</x:v>
      </x:c>
      <x:c r="B489" s="7" t="str">
        <x:v>HL-007</x:v>
      </x:c>
      <x:c r="C489" s="7" t="str">
        <x:v>HL</x:v>
      </x:c>
      <x:c r="D489" s="7" t="str">
        <x:v>B</x:v>
      </x:c>
      <x:c r="E489" s="8" t="str">
        <x:v>周慧宸</x:v>
      </x:c>
      <x:c r="F489" s="10" t="str">
        <x:v>齐齐哈尔市实验中学</x:v>
      </x:c>
      <x:c r="G489" s="12" t="n">
        <x:f>SUM(H489:J489)+K489</x:f>
        <x:v>173</x:v>
      </x:c>
      <x:c r="H489" s="12" t="n">
        <x:v>100</x:v>
      </x:c>
      <x:c r="I489" s="12" t="n">
        <x:v>43</x:v>
      </x:c>
      <x:c r="J489" s="12" t="n">
        <x:v>30</x:v>
      </x:c>
      <x:c r="K489" s="12" t="n">
        <x:f>IF(D489="A",5,0)</x:f>
        <x:v>0</x:v>
      </x:c>
    </x:row>
    <x:row r="490" ht="30" customHeight="1">
      <x:c r="A490" s="11" t="n">
        <x:f>RANK.EQ(G490,$G$2:$G$523,0)</x:f>
        <x:v>489</x:v>
      </x:c>
      <x:c r="B490" s="7" t="str">
        <x:v>XJ-006</x:v>
      </x:c>
      <x:c r="C490" s="7" t="str">
        <x:v>XJ</x:v>
      </x:c>
      <x:c r="D490" s="7" t="str">
        <x:v>B</x:v>
      </x:c>
      <x:c r="E490" s="8" t="str">
        <x:v>吴一帆</x:v>
      </x:c>
      <x:c r="F490" s="10" t="str">
        <x:v>新疆生产建设兵团第二中学</x:v>
      </x:c>
      <x:c r="G490" s="12" t="n">
        <x:f>SUM(H490:J490)+K490</x:f>
        <x:v>170</x:v>
      </x:c>
      <x:c r="H490" s="12" t="n">
        <x:v>100</x:v>
      </x:c>
      <x:c r="I490" s="12" t="n">
        <x:v>36</x:v>
      </x:c>
      <x:c r="J490" s="12" t="n">
        <x:v>34</x:v>
      </x:c>
      <x:c r="K490" s="12" t="n">
        <x:f>IF(D490="A",5,0)</x:f>
        <x:v>0</x:v>
      </x:c>
    </x:row>
    <x:row r="491" ht="30" customHeight="1">
      <x:c r="A491" s="11" t="n">
        <x:f>RANK.EQ(G491,$G$2:$G$523,0)</x:f>
        <x:v>490</x:v>
      </x:c>
      <x:c r="B491" s="7" t="str">
        <x:v>XJ-004</x:v>
      </x:c>
      <x:c r="C491" s="7" t="str">
        <x:v>XJ</x:v>
      </x:c>
      <x:c r="D491" s="7" t="str">
        <x:v>A</x:v>
      </x:c>
      <x:c r="E491" s="8" t="str">
        <x:v>苏远希</x:v>
      </x:c>
      <x:c r="F491" s="10" t="str">
        <x:v>乌鲁木齐市第一中学（绿谷校区高中部）</x:v>
      </x:c>
      <x:c r="G491" s="12" t="n">
        <x:f>SUM(H491:J491)+K491</x:f>
        <x:v>164</x:v>
      </x:c>
      <x:c r="H491" s="12" t="n">
        <x:v>99</x:v>
      </x:c>
      <x:c r="I491" s="12" t="n">
        <x:v>20</x:v>
      </x:c>
      <x:c r="J491" s="12" t="n">
        <x:v>40</x:v>
      </x:c>
      <x:c r="K491" s="12" t="n">
        <x:f>IF(D491="A",5,0)</x:f>
        <x:v>5</x:v>
      </x:c>
    </x:row>
    <x:row r="492" ht="30" customHeight="1">
      <x:c r="A492" s="11" t="n">
        <x:f>RANK.EQ(G492,$G$2:$G$523,0)</x:f>
        <x:v>491</x:v>
      </x:c>
      <x:c r="B492" s="7" t="str">
        <x:v>HL-005</x:v>
      </x:c>
      <x:c r="C492" s="7" t="str">
        <x:v>HL</x:v>
      </x:c>
      <x:c r="D492" s="7" t="str">
        <x:v>A</x:v>
      </x:c>
      <x:c r="E492" s="8" t="str">
        <x:v>关静仪</x:v>
      </x:c>
      <x:c r="F492" s="10" t="str">
        <x:v>鸡西市第一中学校</x:v>
      </x:c>
      <x:c r="G492" s="12" t="n">
        <x:f>SUM(H492:J492)+K492</x:f>
        <x:v>163</x:v>
      </x:c>
      <x:c r="H492" s="12" t="n">
        <x:v>98</x:v>
      </x:c>
      <x:c r="I492" s="12" t="n">
        <x:v>20</x:v>
      </x:c>
      <x:c r="J492" s="12" t="n">
        <x:v>40</x:v>
      </x:c>
      <x:c r="K492" s="12" t="n">
        <x:f>IF(D492="A",5,0)</x:f>
        <x:v>5</x:v>
      </x:c>
    </x:row>
    <x:row r="493" ht="30" customHeight="1">
      <x:c r="A493" s="11" t="n">
        <x:f>RANK.EQ(G493,$G$2:$G$523,0)</x:f>
        <x:v>492</x:v>
      </x:c>
      <x:c r="B493" s="7" t="str">
        <x:v>TJ-005</x:v>
      </x:c>
      <x:c r="C493" s="7" t="str">
        <x:v>TJ</x:v>
      </x:c>
      <x:c r="D493" s="7" t="str">
        <x:v>A</x:v>
      </x:c>
      <x:c r="E493" s="8" t="str">
        <x:v>刘星佑</x:v>
      </x:c>
      <x:c r="F493" s="10" t="str">
        <x:v>天津市新华中学</x:v>
      </x:c>
      <x:c r="G493" s="12" t="n">
        <x:f>SUM(H493:J493)+K493</x:f>
        <x:v>162</x:v>
      </x:c>
      <x:c r="H493" s="12" t="n">
        <x:v>99</x:v>
      </x:c>
      <x:c r="I493" s="12" t="n">
        <x:v>30</x:v>
      </x:c>
      <x:c r="J493" s="12" t="n">
        <x:v>28</x:v>
      </x:c>
      <x:c r="K493" s="12" t="n">
        <x:f>IF(D493="A",5,0)</x:f>
        <x:v>5</x:v>
      </x:c>
    </x:row>
    <x:row r="494" ht="30" customHeight="1">
      <x:c r="A494" s="11" t="n">
        <x:f>RANK.EQ(G494,$G$2:$G$523,0)</x:f>
        <x:v>493</x:v>
      </x:c>
      <x:c r="B494" s="7" t="str">
        <x:v>YN-003</x:v>
      </x:c>
      <x:c r="C494" s="7" t="str">
        <x:v>YN</x:v>
      </x:c>
      <x:c r="D494" s="7" t="str">
        <x:v>A</x:v>
      </x:c>
      <x:c r="E494" s="8" t="str">
        <x:v>蒋丁灿</x:v>
      </x:c>
      <x:c r="F494" s="10" t="str">
        <x:v>昆明市第八中学</x:v>
      </x:c>
      <x:c r="G494" s="12" t="n">
        <x:f>SUM(H494:J494)+K494</x:f>
        <x:v>159</x:v>
      </x:c>
      <x:c r="H494" s="12" t="n">
        <x:v>96</x:v>
      </x:c>
      <x:c r="I494" s="12" t="n">
        <x:v>38</x:v>
      </x:c>
      <x:c r="J494" s="12" t="n">
        <x:v>20</x:v>
      </x:c>
      <x:c r="K494" s="12" t="n">
        <x:f>IF(D494="A",5,0)</x:f>
        <x:v>5</x:v>
      </x:c>
    </x:row>
    <x:row r="495" ht="30" customHeight="1">
      <x:c r="A495" s="11" t="n">
        <x:f>RANK.EQ(G495,$G$2:$G$523,0)</x:f>
        <x:v>494</x:v>
      </x:c>
      <x:c r="B495" s="7" t="str">
        <x:v>GX-005</x:v>
      </x:c>
      <x:c r="C495" s="7" t="str">
        <x:v>GX</x:v>
      </x:c>
      <x:c r="D495" s="7" t="str">
        <x:v>A</x:v>
      </x:c>
      <x:c r="E495" s="8" t="str">
        <x:v>刘昭妤</x:v>
      </x:c>
      <x:c r="F495" s="10" t="str">
        <x:v>柳州铁一中学</x:v>
      </x:c>
      <x:c r="G495" s="12" t="n">
        <x:f>SUM(H495:J495)+K495</x:f>
        <x:v>158</x:v>
      </x:c>
      <x:c r="H495" s="12" t="n">
        <x:v>100</x:v>
      </x:c>
      <x:c r="I495" s="12" t="n">
        <x:v>23</x:v>
      </x:c>
      <x:c r="J495" s="12" t="n">
        <x:v>30</x:v>
      </x:c>
      <x:c r="K495" s="12" t="n">
        <x:f>IF(D495="A",5,0)</x:f>
        <x:v>5</x:v>
      </x:c>
    </x:row>
    <x:row r="496" ht="30" customHeight="1">
      <x:c r="A496" s="11" t="n">
        <x:f>RANK.EQ(G496,$G$2:$G$523,0)</x:f>
        <x:v>495</x:v>
      </x:c>
      <x:c r="B496" s="7" t="str">
        <x:v>HK-005</x:v>
      </x:c>
      <x:c r="C496" s="7" t="str">
        <x:v>HK</x:v>
      </x:c>
      <x:c r="D496" s="7" t="str">
        <x:v>A</x:v>
      </x:c>
      <x:c r="E496" s="8" t="str">
        <x:v>梁煦悠</x:v>
      </x:c>
      <x:c r="F496" s="10" t="str">
        <x:v>英華女學校</x:v>
      </x:c>
      <x:c r="G496" s="12" t="n">
        <x:f>SUM(H496:J496)+K496</x:f>
        <x:v>157</x:v>
      </x:c>
      <x:c r="H496" s="12" t="n">
        <x:v>97</x:v>
      </x:c>
      <x:c r="I496" s="12" t="n">
        <x:v>36</x:v>
      </x:c>
      <x:c r="J496" s="12" t="n">
        <x:v>19</x:v>
      </x:c>
      <x:c r="K496" s="12" t="n">
        <x:f>IF(D496="A",5,0)</x:f>
        <x:v>5</x:v>
      </x:c>
    </x:row>
    <x:row r="497" ht="30" customHeight="1">
      <x:c r="A497" s="11" t="n">
        <x:f>RANK.EQ(G497,$G$2:$G$523,0)</x:f>
        <x:v>496</x:v>
      </x:c>
      <x:c r="B497" s="7" t="str">
        <x:v>HI-005</x:v>
      </x:c>
      <x:c r="C497" s="7" t="str">
        <x:v>HI</x:v>
      </x:c>
      <x:c r="D497" s="7" t="str">
        <x:v>A</x:v>
      </x:c>
      <x:c r="E497" s="8" t="str">
        <x:v>曾子楚</x:v>
      </x:c>
      <x:c r="F497" s="10" t="str">
        <x:v>上海外国语大学三亚附属中学</x:v>
      </x:c>
      <x:c r="G497" s="12" t="n">
        <x:f>SUM(H497:J497)+K497</x:f>
        <x:v>155</x:v>
      </x:c>
      <x:c r="H497" s="12" t="n">
        <x:v>100</x:v>
      </x:c>
      <x:c r="I497" s="12" t="n">
        <x:v>15</x:v>
      </x:c>
      <x:c r="J497" s="12" t="n">
        <x:v>35</x:v>
      </x:c>
      <x:c r="K497" s="12" t="n">
        <x:f>IF(D497="A",5,0)</x:f>
        <x:v>5</x:v>
      </x:c>
    </x:row>
    <x:row r="498" ht="30" customHeight="1">
      <x:c r="A498" s="11" t="n">
        <x:f>RANK.EQ(G498,$G$2:$G$523,0)</x:f>
        <x:v>497</x:v>
      </x:c>
      <x:c r="B498" s="7" t="str">
        <x:v>YN-005</x:v>
      </x:c>
      <x:c r="C498" s="7" t="str">
        <x:v>YN</x:v>
      </x:c>
      <x:c r="D498" s="7" t="str">
        <x:v>A</x:v>
      </x:c>
      <x:c r="E498" s="8" t="str">
        <x:v>田昀可</x:v>
      </x:c>
      <x:c r="F498" s="10" t="str">
        <x:v>红河哈尼族彝族自治州第一中学</x:v>
      </x:c>
      <x:c r="G498" s="12" t="n">
        <x:f>SUM(H498:J498)+K498</x:f>
        <x:v>152</x:v>
      </x:c>
      <x:c r="H498" s="12" t="n">
        <x:v>100</x:v>
      </x:c>
      <x:c r="I498" s="12" t="n">
        <x:v>32</x:v>
      </x:c>
      <x:c r="J498" s="12" t="n">
        <x:v>15</x:v>
      </x:c>
      <x:c r="K498" s="12" t="n">
        <x:f>IF(D498="A",5,0)</x:f>
        <x:v>5</x:v>
      </x:c>
    </x:row>
    <x:row r="499" ht="30" customHeight="1">
      <x:c r="A499" s="11" t="n">
        <x:f>RANK.EQ(G499,$G$2:$G$523,0)</x:f>
        <x:v>498</x:v>
      </x:c>
      <x:c r="B499" s="7" t="str">
        <x:v>HE-002</x:v>
      </x:c>
      <x:c r="C499" s="7" t="str">
        <x:v>HE</x:v>
      </x:c>
      <x:c r="D499" s="7" t="str">
        <x:v>A</x:v>
      </x:c>
      <x:c r="E499" s="8" t="str">
        <x:v>靳灏芊</x:v>
      </x:c>
      <x:c r="F499" s="10" t="str">
        <x:v>石家庄市第一中学</x:v>
      </x:c>
      <x:c r="G499" s="12" t="n">
        <x:f>SUM(H499:J499)+K499</x:f>
        <x:v>151</x:v>
      </x:c>
      <x:c r="H499" s="12" t="n">
        <x:v>100</x:v>
      </x:c>
      <x:c r="I499" s="12" t="n">
        <x:v>21</x:v>
      </x:c>
      <x:c r="J499" s="12" t="n">
        <x:v>25</x:v>
      </x:c>
      <x:c r="K499" s="12" t="n">
        <x:f>IF(D499="A",5,0)</x:f>
        <x:v>5</x:v>
      </x:c>
    </x:row>
    <x:row r="500" ht="30" customHeight="1">
      <x:c r="A500" s="11" t="n">
        <x:f>RANK.EQ(G500,$G$2:$G$523,0)</x:f>
        <x:v>499</x:v>
      </x:c>
      <x:c r="B500" s="7" t="str">
        <x:v>HI-006</x:v>
      </x:c>
      <x:c r="C500" s="7" t="str">
        <x:v>HI</x:v>
      </x:c>
      <x:c r="D500" s="7" t="str">
        <x:v>B</x:v>
      </x:c>
      <x:c r="E500" s="8" t="str">
        <x:v>王彦景</x:v>
      </x:c>
      <x:c r="F500" s="10" t="str">
        <x:v>海南华侨中学</x:v>
      </x:c>
      <x:c r="G500" s="12" t="n">
        <x:f>SUM(H500:J500)+K500</x:f>
        <x:v>147</x:v>
      </x:c>
      <x:c r="H500" s="12" t="n">
        <x:v>100</x:v>
      </x:c>
      <x:c r="I500" s="12" t="n">
        <x:v>32</x:v>
      </x:c>
      <x:c r="J500" s="12" t="n">
        <x:v>15</x:v>
      </x:c>
      <x:c r="K500" s="12" t="n">
        <x:f>IF(D500="A",5,0)</x:f>
        <x:v>0</x:v>
      </x:c>
    </x:row>
    <x:row r="501" ht="30" customHeight="1">
      <x:c r="A501" s="11" t="n">
        <x:f>RANK.EQ(G501,$G$2:$G$523,0)</x:f>
        <x:v>500</x:v>
      </x:c>
      <x:c r="B501" s="7" t="str">
        <x:v>HB-005</x:v>
      </x:c>
      <x:c r="C501" s="7" t="str">
        <x:v>HB</x:v>
      </x:c>
      <x:c r="D501" s="7" t="str">
        <x:v>A</x:v>
      </x:c>
      <x:c r="E501" s="8" t="str">
        <x:v>柳涵钰</x:v>
      </x:c>
      <x:c r="F501" s="10" t="str">
        <x:v>武汉外国语学校</x:v>
      </x:c>
      <x:c r="G501" s="12" t="n">
        <x:f>SUM(H501:J501)+K501</x:f>
        <x:v>146</x:v>
      </x:c>
      <x:c r="H501" s="12" t="n">
        <x:v>98</x:v>
      </x:c>
      <x:c r="I501" s="12" t="n">
        <x:v>8</x:v>
      </x:c>
      <x:c r="J501" s="12" t="n">
        <x:v>35</x:v>
      </x:c>
      <x:c r="K501" s="12" t="n">
        <x:f>IF(D501="A",5,0)</x:f>
        <x:v>5</x:v>
      </x:c>
    </x:row>
    <x:row r="502" ht="30" customHeight="1">
      <x:c r="A502" s="11" t="n">
        <x:f>RANK.EQ(G502,$G$2:$G$523,0)</x:f>
        <x:v>501</x:v>
      </x:c>
      <x:c r="B502" s="7" t="str">
        <x:v>SN-005</x:v>
      </x:c>
      <x:c r="C502" s="7" t="str">
        <x:v>SN</x:v>
      </x:c>
      <x:c r="D502" s="7" t="str">
        <x:v>A</x:v>
      </x:c>
      <x:c r="E502" s="8" t="str">
        <x:v>陈钰婉</x:v>
      </x:c>
      <x:c r="F502" s="10" t="str">
        <x:v>西安高新第一中学</x:v>
      </x:c>
      <x:c r="G502" s="12" t="n">
        <x:f>SUM(H502:J502)+K502</x:f>
        <x:v>144</x:v>
      </x:c>
      <x:c r="H502" s="12" t="n">
        <x:v>100</x:v>
      </x:c>
      <x:c r="I502" s="12" t="n">
        <x:v>25</x:v>
      </x:c>
      <x:c r="J502" s="12" t="n">
        <x:v>14</x:v>
      </x:c>
      <x:c r="K502" s="12" t="n">
        <x:f>IF(D502="A",5,0)</x:f>
        <x:v>5</x:v>
      </x:c>
    </x:row>
    <x:row r="503" ht="30" customHeight="1">
      <x:c r="A503" s="11" t="n">
        <x:f>RANK.EQ(G503,$G$2:$G$523,0)</x:f>
        <x:v>502</x:v>
      </x:c>
      <x:c r="B503" s="7" t="str">
        <x:v>NX-003</x:v>
      </x:c>
      <x:c r="C503" s="7" t="str">
        <x:v>NX</x:v>
      </x:c>
      <x:c r="D503" s="7" t="str">
        <x:v>A</x:v>
      </x:c>
      <x:c r="E503" s="8" t="str">
        <x:v>王小鲁</x:v>
      </x:c>
      <x:c r="F503" s="10" t="str">
        <x:v>宁夏银川市第二中学</x:v>
      </x:c>
      <x:c r="G503" s="12" t="n">
        <x:f>SUM(H503:J503)+K503</x:f>
        <x:v>137</x:v>
      </x:c>
      <x:c r="H503" s="12" t="n">
        <x:v>100</x:v>
      </x:c>
      <x:c r="I503" s="12" t="n">
        <x:v>28</x:v>
      </x:c>
      <x:c r="J503" s="12" t="n">
        <x:v>4</x:v>
      </x:c>
      <x:c r="K503" s="12" t="n">
        <x:f>IF(D503="A",5,0)</x:f>
        <x:v>5</x:v>
      </x:c>
    </x:row>
    <x:row r="504" ht="30" customHeight="1">
      <x:c r="A504" s="11" t="n">
        <x:f>RANK.EQ(G504,$G$2:$G$523,0)</x:f>
        <x:v>503</x:v>
      </x:c>
      <x:c r="B504" s="7" t="str">
        <x:v>GS-005</x:v>
      </x:c>
      <x:c r="C504" s="7" t="str">
        <x:v>GS</x:v>
      </x:c>
      <x:c r="D504" s="7" t="str">
        <x:v>A</x:v>
      </x:c>
      <x:c r="E504" s="8" t="str">
        <x:v>杨梓瀚</x:v>
      </x:c>
      <x:c r="F504" s="10" t="str">
        <x:v>甘肃省庆阳第一中学</x:v>
      </x:c>
      <x:c r="G504" s="12" t="n">
        <x:f>SUM(H504:J504)+K504</x:f>
        <x:v>135</x:v>
      </x:c>
      <x:c r="H504" s="12" t="n">
        <x:v>100</x:v>
      </x:c>
      <x:c r="I504" s="12" t="n">
        <x:v>20</x:v>
      </x:c>
      <x:c r="J504" s="12" t="n">
        <x:v>10</x:v>
      </x:c>
      <x:c r="K504" s="12" t="n">
        <x:f>IF(D504="A",5,0)</x:f>
        <x:v>5</x:v>
      </x:c>
    </x:row>
    <x:row r="505" ht="30" customHeight="1">
      <x:c r="A505" s="11" t="n">
        <x:f>RANK.EQ(G505,$G$2:$G$523,0)</x:f>
        <x:v>504</x:v>
      </x:c>
      <x:c r="B505" s="7" t="str">
        <x:v>NX-004</x:v>
      </x:c>
      <x:c r="C505" s="7" t="str">
        <x:v>NX</x:v>
      </x:c>
      <x:c r="D505" s="7" t="str">
        <x:v>A</x:v>
      </x:c>
      <x:c r="E505" s="8" t="str">
        <x:v>董子芾</x:v>
      </x:c>
      <x:c r="F505" s="10" t="str">
        <x:v>银川市唐徕中学</x:v>
      </x:c>
      <x:c r="G505" s="12" t="n">
        <x:f>SUM(H505:J505)+K505</x:f>
        <x:v>134</x:v>
      </x:c>
      <x:c r="H505" s="12" t="n">
        <x:v>99</x:v>
      </x:c>
      <x:c r="I505" s="12" t="n">
        <x:v>20</x:v>
      </x:c>
      <x:c r="J505" s="12" t="n">
        <x:v>10</x:v>
      </x:c>
      <x:c r="K505" s="12" t="n">
        <x:f>IF(D505="A",5,0)</x:f>
        <x:v>5</x:v>
      </x:c>
    </x:row>
    <x:row r="506" ht="30" customHeight="1">
      <x:c r="A506" s="11" t="n">
        <x:f>RANK.EQ(G506,$G$2:$G$523,0)</x:f>
        <x:v>505</x:v>
      </x:c>
      <x:c r="B506" s="7" t="str">
        <x:v>MO-005</x:v>
      </x:c>
      <x:c r="C506" s="7" t="str">
        <x:v>MO</x:v>
      </x:c>
      <x:c r="D506" s="7" t="str">
        <x:v>A</x:v>
      </x:c>
      <x:c r="E506" s="8" t="str">
        <x:v>張兆鋒</x:v>
      </x:c>
      <x:c r="F506" s="10" t="str">
        <x:v>培正中學</x:v>
      </x:c>
      <x:c r="G506" s="12" t="n">
        <x:f>SUM(H506:J506)+K506</x:f>
        <x:v>130</x:v>
      </x:c>
      <x:c r="H506" s="12" t="n">
        <x:v>100</x:v>
      </x:c>
      <x:c r="I506" s="12" t="n">
        <x:v>0</x:v>
      </x:c>
      <x:c r="J506" s="12" t="n">
        <x:v>25</x:v>
      </x:c>
      <x:c r="K506" s="12" t="n">
        <x:f>IF(D506="A",5,0)</x:f>
        <x:v>5</x:v>
      </x:c>
    </x:row>
    <x:row r="507" ht="30" customHeight="1">
      <x:c r="A507" s="11" t="n">
        <x:f>RANK.EQ(G507,$G$2:$G$523,0)</x:f>
        <x:v>506</x:v>
      </x:c>
      <x:c r="B507" s="7" t="str">
        <x:v>SX-005</x:v>
      </x:c>
      <x:c r="C507" s="7" t="str">
        <x:v>SX</x:v>
      </x:c>
      <x:c r="D507" s="7" t="str">
        <x:v>A</x:v>
      </x:c>
      <x:c r="E507" s="8" t="str">
        <x:v>王子妍</x:v>
      </x:c>
      <x:c r="F507" s="10" t="str">
        <x:v>吕梁市凤山高级中学</x:v>
      </x:c>
      <x:c r="G507" s="12" t="n">
        <x:f>SUM(H507:J507)+K507</x:f>
        <x:v>125</x:v>
      </x:c>
      <x:c r="H507" s="12" t="n">
        <x:v>100</x:v>
      </x:c>
      <x:c r="I507" s="12" t="n">
        <x:v>10</x:v>
      </x:c>
      <x:c r="J507" s="12" t="n">
        <x:v>10</x:v>
      </x:c>
      <x:c r="K507" s="12" t="n">
        <x:f>IF(D507="A",5,0)</x:f>
        <x:v>5</x:v>
      </x:c>
    </x:row>
    <x:row r="508" ht="30" customHeight="1">
      <x:c r="A508" s="11" t="n">
        <x:f>RANK.EQ(G508,$G$2:$G$523,0)</x:f>
        <x:v>507</x:v>
      </x:c>
      <x:c r="B508" s="7" t="str">
        <x:v>NM-001</x:v>
      </x:c>
      <x:c r="C508" s="7" t="str">
        <x:v>NM</x:v>
      </x:c>
      <x:c r="D508" s="7" t="str">
        <x:v>A</x:v>
      </x:c>
      <x:c r="E508" s="8" t="str">
        <x:v>郭安桉</x:v>
      </x:c>
      <x:c r="F508" s="10" t="str">
        <x:v>乌兰浩特第一中学</x:v>
      </x:c>
      <x:c r="G508" s="12" t="n">
        <x:f>SUM(H508:J508)+K508</x:f>
        <x:v>116</x:v>
      </x:c>
      <x:c r="H508" s="12" t="n">
        <x:v>100</x:v>
      </x:c>
      <x:c r="I508" s="12" t="n">
        <x:v>11</x:v>
      </x:c>
      <x:c r="J508" s="12" t="n">
        <x:v>0</x:v>
      </x:c>
      <x:c r="K508" s="12" t="n">
        <x:f>IF(D508="A",5,0)</x:f>
        <x:v>5</x:v>
      </x:c>
    </x:row>
    <x:row r="509" ht="30" customHeight="1">
      <x:c r="A509" s="11" t="n">
        <x:f>RANK.EQ(G509,$G$2:$G$523,0)</x:f>
        <x:v>508</x:v>
      </x:c>
      <x:c r="B509" s="7" t="str">
        <x:v>GS-001</x:v>
      </x:c>
      <x:c r="C509" s="7" t="str">
        <x:v>GS</x:v>
      </x:c>
      <x:c r="D509" s="7" t="str">
        <x:v>A</x:v>
      </x:c>
      <x:c r="E509" s="8" t="str">
        <x:v>孙寅烜</x:v>
      </x:c>
      <x:c r="F509" s="10" t="str">
        <x:v>西北师范大学附属中学</x:v>
      </x:c>
      <x:c r="G509" s="12" t="n">
        <x:f>SUM(H509:J509)+K509</x:f>
        <x:v>113</x:v>
      </x:c>
      <x:c r="H509" s="12" t="n">
        <x:v>98</x:v>
      </x:c>
      <x:c r="I509" s="12" t="n">
        <x:v>0</x:v>
      </x:c>
      <x:c r="J509" s="12" t="n">
        <x:v>10</x:v>
      </x:c>
      <x:c r="K509" s="12" t="n">
        <x:f>IF(D509="A",5,0)</x:f>
        <x:v>5</x:v>
      </x:c>
    </x:row>
    <x:row r="510" ht="30" customHeight="1">
      <x:c r="A510" s="11" t="n">
        <x:f>RANK.EQ(G510,$G$2:$G$523,0)</x:f>
        <x:v>508</x:v>
      </x:c>
      <x:c r="B510" s="7" t="str">
        <x:v>GZ-006</x:v>
      </x:c>
      <x:c r="C510" s="7" t="str">
        <x:v>GZ</x:v>
      </x:c>
      <x:c r="D510" s="7" t="str">
        <x:v>B</x:v>
      </x:c>
      <x:c r="E510" s="8" t="str">
        <x:v>杨钧涵</x:v>
      </x:c>
      <x:c r="F510" s="10" t="str">
        <x:v>贵阳市第一中学</x:v>
      </x:c>
      <x:c r="G510" s="12" t="n">
        <x:f>SUM(H510:J510)+K510</x:f>
        <x:v>113</x:v>
      </x:c>
      <x:c r="H510" s="12" t="n">
        <x:v>95</x:v>
      </x:c>
      <x:c r="I510" s="12" t="n">
        <x:v>18</x:v>
      </x:c>
      <x:c r="J510" s="12" t="n">
        <x:v>0</x:v>
      </x:c>
      <x:c r="K510" s="12" t="n">
        <x:f>IF(D510="A",5,0)</x:f>
        <x:v>0</x:v>
      </x:c>
    </x:row>
    <x:row r="511" ht="30" customHeight="1">
      <x:c r="A511" s="11" t="n">
        <x:f>RANK.EQ(G511,$G$2:$G$523,0)</x:f>
        <x:v>510</x:v>
      </x:c>
      <x:c r="B511" s="7" t="str">
        <x:v>GS-003</x:v>
      </x:c>
      <x:c r="C511" s="7" t="str">
        <x:v>GS</x:v>
      </x:c>
      <x:c r="D511" s="7" t="str">
        <x:v>A</x:v>
      </x:c>
      <x:c r="E511" s="8" t="str">
        <x:v>张城</x:v>
      </x:c>
      <x:c r="F511" s="10" t="str">
        <x:v>甘肃省高台县第一中学</x:v>
      </x:c>
      <x:c r="G511" s="12" t="n">
        <x:f>SUM(H511:J511)+K511</x:f>
        <x:v>112</x:v>
      </x:c>
      <x:c r="H511" s="12" t="n">
        <x:v>99</x:v>
      </x:c>
      <x:c r="I511" s="12" t="n">
        <x:v>8</x:v>
      </x:c>
      <x:c r="J511" s="12" t="n">
        <x:v>0</x:v>
      </x:c>
      <x:c r="K511" s="12" t="n">
        <x:f>IF(D511="A",5,0)</x:f>
        <x:v>5</x:v>
      </x:c>
    </x:row>
    <x:row r="512" ht="30" customHeight="1">
      <x:c r="A512" s="11" t="n">
        <x:f>RANK.EQ(G512,$G$2:$G$523,0)</x:f>
        <x:v>511</x:v>
      </x:c>
      <x:c r="B512" s="7" t="str">
        <x:v>GZ-005</x:v>
      </x:c>
      <x:c r="C512" s="7" t="str">
        <x:v>GZ</x:v>
      </x:c>
      <x:c r="D512" s="7" t="str">
        <x:v>A</x:v>
      </x:c>
      <x:c r="E512" s="8" t="str">
        <x:v>李星宸</x:v>
      </x:c>
      <x:c r="F512" s="10" t="str">
        <x:v>贵州省遵义市第四中学</x:v>
      </x:c>
      <x:c r="G512" s="12" t="n">
        <x:f>SUM(H512:J512)+K512</x:f>
        <x:v>109</x:v>
      </x:c>
      <x:c r="H512" s="12" t="n">
        <x:v>99</x:v>
      </x:c>
      <x:c r="I512" s="12" t="n">
        <x:v>0</x:v>
      </x:c>
      <x:c r="J512" s="12" t="n">
        <x:v>5</x:v>
      </x:c>
      <x:c r="K512" s="12" t="n">
        <x:f>IF(D512="A",5,0)</x:f>
        <x:v>5</x:v>
      </x:c>
    </x:row>
    <x:row r="513" ht="30" customHeight="1">
      <x:c r="A513" s="11" t="n">
        <x:f>RANK.EQ(G513,$G$2:$G$523,0)</x:f>
        <x:v>512</x:v>
      </x:c>
      <x:c r="B513" s="7" t="str">
        <x:v>NX-002</x:v>
      </x:c>
      <x:c r="C513" s="7" t="str">
        <x:v>NX</x:v>
      </x:c>
      <x:c r="D513" s="7" t="str">
        <x:v>A</x:v>
      </x:c>
      <x:c r="E513" s="8" t="str">
        <x:v>胡又仁</x:v>
      </x:c>
      <x:c r="F513" s="10" t="str">
        <x:v>宁夏银川一中</x:v>
      </x:c>
      <x:c r="G513" s="12" t="n">
        <x:f>SUM(H513:J513)+K513</x:f>
        <x:v>105</x:v>
      </x:c>
      <x:c r="H513" s="12" t="n">
        <x:v>100</x:v>
      </x:c>
      <x:c r="I513" s="12" t="n">
        <x:v>0</x:v>
      </x:c>
      <x:c r="J513" s="12" t="n">
        <x:v>0</x:v>
      </x:c>
      <x:c r="K513" s="12" t="n">
        <x:f>IF(D513="A",5,0)</x:f>
        <x:v>5</x:v>
      </x:c>
    </x:row>
    <x:row r="514" ht="30" customHeight="1">
      <x:c r="A514" s="11" t="n">
        <x:f>RANK.EQ(G514,$G$2:$G$523,0)</x:f>
        <x:v>513</x:v>
      </x:c>
      <x:c r="B514" s="7" t="str">
        <x:v>QH-002</x:v>
      </x:c>
      <x:c r="C514" s="7" t="str">
        <x:v>QH</x:v>
      </x:c>
      <x:c r="D514" s="7" t="str">
        <x:v>A</x:v>
      </x:c>
      <x:c r="E514" s="8" t="str">
        <x:v>魏嘉航</x:v>
      </x:c>
      <x:c r="F514" s="10" t="str">
        <x:v>青海湟川中学</x:v>
      </x:c>
      <x:c r="G514" s="12" t="n">
        <x:f>SUM(H514:J514)+K514</x:f>
        <x:v>104</x:v>
      </x:c>
      <x:c r="H514" s="12" t="n">
        <x:v>99</x:v>
      </x:c>
      <x:c r="I514" s="12" t="n">
        <x:v>0</x:v>
      </x:c>
      <x:c r="J514" s="12" t="n">
        <x:v>0</x:v>
      </x:c>
      <x:c r="K514" s="12" t="n">
        <x:f>IF(D514="A",5,0)</x:f>
        <x:v>5</x:v>
      </x:c>
    </x:row>
    <x:row r="515" ht="30" customHeight="1">
      <x:c r="A515" s="11" t="n">
        <x:f>RANK.EQ(G515,$G$2:$G$523,0)</x:f>
        <x:v>513</x:v>
      </x:c>
      <x:c r="B515" s="7" t="str">
        <x:v>QH-003</x:v>
      </x:c>
      <x:c r="C515" s="7" t="str">
        <x:v>QH</x:v>
      </x:c>
      <x:c r="D515" s="7" t="str">
        <x:v>A</x:v>
      </x:c>
      <x:c r="E515" s="8" t="str">
        <x:v>陈骏豪</x:v>
      </x:c>
      <x:c r="F515" s="10" t="str">
        <x:v>青海湟川中学</x:v>
      </x:c>
      <x:c r="G515" s="12" t="n">
        <x:f>SUM(H515:J515)+K515</x:f>
        <x:v>104</x:v>
      </x:c>
      <x:c r="H515" s="12" t="n">
        <x:v>99</x:v>
      </x:c>
      <x:c r="I515" s="12" t="n">
        <x:v>0</x:v>
      </x:c>
      <x:c r="J515" s="12" t="n">
        <x:v>0</x:v>
      </x:c>
      <x:c r="K515" s="12" t="n">
        <x:f>IF(D515="A",5,0)</x:f>
        <x:v>5</x:v>
      </x:c>
    </x:row>
    <x:row r="516" ht="30" customHeight="1">
      <x:c r="A516" s="11" t="n">
        <x:f>RANK.EQ(G516,$G$2:$G$523,0)</x:f>
        <x:v>515</x:v>
      </x:c>
      <x:c r="B516" s="7" t="str">
        <x:v>GS-002</x:v>
      </x:c>
      <x:c r="C516" s="7" t="str">
        <x:v>GS</x:v>
      </x:c>
      <x:c r="D516" s="7" t="str">
        <x:v>A</x:v>
      </x:c>
      <x:c r="E516" s="8" t="str">
        <x:v>曹一文</x:v>
      </x:c>
      <x:c r="F516" s="10" t="str">
        <x:v>甘肃省张掖中学</x:v>
      </x:c>
      <x:c r="G516" s="12" t="n">
        <x:f>SUM(H516:J516)+K516</x:f>
        <x:v>103</x:v>
      </x:c>
      <x:c r="H516" s="12" t="n">
        <x:v>93</x:v>
      </x:c>
      <x:c r="I516" s="12" t="n">
        <x:v>0</x:v>
      </x:c>
      <x:c r="J516" s="12" t="n">
        <x:v>5</x:v>
      </x:c>
      <x:c r="K516" s="12" t="n">
        <x:f>IF(D516="A",5,0)</x:f>
        <x:v>5</x:v>
      </x:c>
    </x:row>
    <x:row r="517" ht="30" customHeight="1">
      <x:c r="A517" s="11" t="n">
        <x:f>RANK.EQ(G517,$G$2:$G$523,0)</x:f>
        <x:v>515</x:v>
      </x:c>
      <x:c r="B517" s="7" t="str">
        <x:v>QH-001</x:v>
      </x:c>
      <x:c r="C517" s="7" t="str">
        <x:v>QH</x:v>
      </x:c>
      <x:c r="D517" s="7" t="str">
        <x:v>A</x:v>
      </x:c>
      <x:c r="E517" s="8" t="str">
        <x:v>吴嘉越</x:v>
      </x:c>
      <x:c r="F517" s="10" t="str">
        <x:v>西宁市第二中学</x:v>
      </x:c>
      <x:c r="G517" s="12" t="n">
        <x:f>SUM(H517:J517)+K517</x:f>
        <x:v>103</x:v>
      </x:c>
      <x:c r="H517" s="12" t="n">
        <x:v>98</x:v>
      </x:c>
      <x:c r="I517" s="12" t="n">
        <x:v>0</x:v>
      </x:c>
      <x:c r="J517" s="12" t="n">
        <x:v>0</x:v>
      </x:c>
      <x:c r="K517" s="12" t="n">
        <x:f>IF(D517="A",5,0)</x:f>
        <x:v>5</x:v>
      </x:c>
    </x:row>
    <x:row r="518" ht="30" customHeight="1">
      <x:c r="A518" s="11" t="n">
        <x:f>RANK.EQ(G518,$G$2:$G$523,0)</x:f>
        <x:v>515</x:v>
      </x:c>
      <x:c r="B518" s="7" t="str">
        <x:v>QH-004</x:v>
      </x:c>
      <x:c r="C518" s="7" t="str">
        <x:v>QH</x:v>
      </x:c>
      <x:c r="D518" s="7" t="str">
        <x:v>A</x:v>
      </x:c>
      <x:c r="E518" s="8" t="str">
        <x:v>马靖宇</x:v>
      </x:c>
      <x:c r="F518" s="10" t="str">
        <x:v>西宁市光华中学</x:v>
      </x:c>
      <x:c r="G518" s="12" t="n">
        <x:f>SUM(H518:J518)+K518</x:f>
        <x:v>103</x:v>
      </x:c>
      <x:c r="H518" s="12" t="n">
        <x:v>98</x:v>
      </x:c>
      <x:c r="I518" s="12" t="n">
        <x:v>0</x:v>
      </x:c>
      <x:c r="J518" s="12" t="n">
        <x:v>0</x:v>
      </x:c>
      <x:c r="K518" s="12" t="n">
        <x:f>IF(D518="A",5,0)</x:f>
        <x:v>5</x:v>
      </x:c>
    </x:row>
    <x:row r="519" ht="30" customHeight="1">
      <x:c r="A519" s="11" t="n">
        <x:f>RANK.EQ(G519,$G$2:$G$523,0)</x:f>
        <x:v>515</x:v>
      </x:c>
      <x:c r="B519" s="7" t="str">
        <x:v>QH-005</x:v>
      </x:c>
      <x:c r="C519" s="7" t="str">
        <x:v>QH</x:v>
      </x:c>
      <x:c r="D519" s="7" t="str">
        <x:v>A</x:v>
      </x:c>
      <x:c r="E519" s="8" t="str">
        <x:v>白瑞雪</x:v>
      </x:c>
      <x:c r="F519" s="10" t="str">
        <x:v>青海湟川中学</x:v>
      </x:c>
      <x:c r="G519" s="12" t="n">
        <x:f>SUM(H519:J519)+K519</x:f>
        <x:v>103</x:v>
      </x:c>
      <x:c r="H519" s="12" t="n">
        <x:v>98</x:v>
      </x:c>
      <x:c r="I519" s="12" t="n">
        <x:v>0</x:v>
      </x:c>
      <x:c r="J519" s="12" t="n">
        <x:v>0</x:v>
      </x:c>
      <x:c r="K519" s="12" t="n">
        <x:f>IF(D519="A",5,0)</x:f>
        <x:v>5</x:v>
      </x:c>
    </x:row>
    <x:row r="520" ht="30" customHeight="1">
      <x:c r="A520" s="11" t="n">
        <x:f>RANK.EQ(G520,$G$2:$G$523,0)</x:f>
        <x:v>519</x:v>
      </x:c>
      <x:c r="B520" s="7" t="str">
        <x:v>NX-005</x:v>
      </x:c>
      <x:c r="C520" s="7" t="str">
        <x:v>NX</x:v>
      </x:c>
      <x:c r="D520" s="7" t="str">
        <x:v>A</x:v>
      </x:c>
      <x:c r="E520" s="8" t="str">
        <x:v>石欣苒</x:v>
      </x:c>
      <x:c r="F520" s="10" t="str">
        <x:v>贺兰县第一中学</x:v>
      </x:c>
      <x:c r="G520" s="12" t="n">
        <x:f>SUM(H520:J520)+K520</x:f>
        <x:v>99</x:v>
      </x:c>
      <x:c r="H520" s="12" t="n">
        <x:v>94</x:v>
      </x:c>
      <x:c r="I520" s="12" t="n">
        <x:v>0</x:v>
      </x:c>
      <x:c r="J520" s="12" t="n">
        <x:v>0</x:v>
      </x:c>
      <x:c r="K520" s="12" t="n">
        <x:f>IF(D520="A",5,0)</x:f>
        <x:v>5</x:v>
      </x:c>
    </x:row>
    <x:row r="521" ht="30" customHeight="1">
      <x:c r="A521" s="11" t="n">
        <x:f>RANK.EQ(G521,$G$2:$G$523,0)</x:f>
        <x:v>520</x:v>
      </x:c>
      <x:c r="B521" s="7" t="str">
        <x:v>NM-007</x:v>
      </x:c>
      <x:c r="C521" s="7" t="str">
        <x:v>NM</x:v>
      </x:c>
      <x:c r="D521" s="7" t="str">
        <x:v>B</x:v>
      </x:c>
      <x:c r="E521" s="8" t="str">
        <x:v>林照奇</x:v>
      </x:c>
      <x:c r="F521" s="10" t="str">
        <x:v>赤峰二中</x:v>
      </x:c>
      <x:c r="G521" s="12" t="n">
        <x:f>SUM(H521:J521)+K521</x:f>
        <x:v>97</x:v>
      </x:c>
      <x:c r="H521" s="12" t="n">
        <x:v>97</x:v>
      </x:c>
      <x:c r="I521" s="12" t="n">
        <x:v>0</x:v>
      </x:c>
      <x:c r="J521" s="12" t="n">
        <x:v>0</x:v>
      </x:c>
      <x:c r="K521" s="12" t="n">
        <x:f>IF(D521="A",5,0)</x:f>
        <x:v>0</x:v>
      </x:c>
    </x:row>
    <x:row r="522" ht="30" customHeight="1">
      <x:c r="A522" s="11" t="n">
        <x:f>RANK.EQ(G522,$G$2:$G$523,0)</x:f>
        <x:v>521</x:v>
      </x:c>
      <x:c r="B522" s="7" t="str">
        <x:v>YN-008</x:v>
      </x:c>
      <x:c r="C522" s="7" t="str">
        <x:v>YN</x:v>
      </x:c>
      <x:c r="D522" s="7" t="str">
        <x:v>E</x:v>
      </x:c>
      <x:c r="E522" s="8" t="str">
        <x:v>毛奔</x:v>
      </x:c>
      <x:c r="F522" s="10" t="str">
        <x:v>昆明理工大学附属中学</x:v>
      </x:c>
      <x:c r="G522" s="12" t="n">
        <x:f>SUM(H522:J522)+K522</x:f>
        <x:v>75</x:v>
      </x:c>
      <x:c r="H522" s="12" t="n">
        <x:v>0</x:v>
      </x:c>
      <x:c r="I522" s="12" t="n">
        <x:v>40</x:v>
      </x:c>
      <x:c r="J522" s="12" t="n">
        <x:v>35</x:v>
      </x:c>
      <x:c r="K522" s="12" t="n">
        <x:f>IF(D522="A",5,0)</x:f>
        <x:v>0</x:v>
      </x:c>
    </x:row>
    <x:row r="523" ht="30" customHeight="1">
      <x:c r="A523" s="11" t="n">
        <x:f>RANK.EQ(G523,$G$2:$G$523,0)</x:f>
        <x:v>522</x:v>
      </x:c>
      <x:c r="B523" s="7" t="str">
        <x:v>YN-009</x:v>
      </x:c>
      <x:c r="C523" s="7" t="str">
        <x:v>YN</x:v>
      </x:c>
      <x:c r="D523" s="7" t="str">
        <x:v>E</x:v>
      </x:c>
      <x:c r="E523" s="8" t="str">
        <x:v>李沫璋</x:v>
      </x:c>
      <x:c r="F523" s="10" t="str">
        <x:v>蒙自市第一高级中学</x:v>
      </x:c>
      <x:c r="G523" s="12" t="n">
        <x:f>SUM(H523:J523)+K523</x:f>
        <x:v>0</x:v>
      </x:c>
      <x:c r="H523" s="12" t="n">
        <x:v>0</x:v>
      </x:c>
      <x:c r="I523" s="12" t="n">
        <x:v>0</x:v>
      </x:c>
      <x:c r="J523" s="12" t="n">
        <x:v>0</x:v>
      </x:c>
      <x:c r="K523" s="12" t="n">
        <x:f>IF(D523="A",5,0)</x:f>
        <x:v>0</x:v>
      </x:c>
    </x:row>
  </x:sheetData>
  <x:conditionalFormatting sqref="K2:K523">
    <x:cfRule type="cellIs" dxfId="0" priority="1" operator="equal">
      <x:formula>5</x:formula>
    </x:cfRule>
  </x:conditionalFormatting>
  <x:pageMargins left="0.7" right="0.7" top="0.75" bottom="0.75" header="0.3" footer="0.3"/>
  <x:legacyDrawing xmlns:r="http://schemas.openxmlformats.org/officeDocument/2006/relationships" r:id="R295b037936e94938"/>
  <x:tableParts count="1">
    <x:tablePart xmlns:r="http://schemas.openxmlformats.org/officeDocument/2006/relationships" r:id="Re426baf3efc5461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2" hidden="0" customWidth="1"/>
    <x:col min="3" max="3" width="8" hidden="0" customWidth="1"/>
    <x:col min="4" max="4" width="8" hidden="0" customWidth="1"/>
    <x:col min="5" max="5" width="13" hidden="0" customWidth="1"/>
    <x:col min="6" max="6" width="44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9" hidden="0" customWidth="1"/>
  </x:cols>
  <x:sheetData>
    <x:row r="1" ht="28" customHeight="1">
      <x:c r="A1" s="5" t="str">
        <x:v>排名</x:v>
      </x:c>
      <x:c r="B1" s="5" t="str">
        <x:v>编号</x:v>
      </x:c>
      <x:c r="C1" s="5" t="str">
        <x:v>省份</x:v>
      </x:c>
      <x:c r="D1" s="5" t="str">
        <x:v>类型</x:v>
      </x:c>
      <x:c r="E1" s="5" t="str">
        <x:v>姓名</x:v>
      </x:c>
      <x:c r="F1" s="5" t="str">
        <x:v>学校</x:v>
      </x:c>
      <x:c r="G1" s="5" t="str">
        <x:v>总分</x:v>
      </x:c>
      <x:c r="H1" s="5" t="str">
        <x:v>笔试</x:v>
      </x:c>
      <x:c r="I1" s="5" t="str">
        <x:v>一试</x:v>
      </x:c>
      <x:c r="J1" s="5" t="str">
        <x:v>二试</x:v>
      </x:c>
      <x:c r="K1" s="5" t="str">
        <x:v>加分</x:v>
      </x:c>
    </x:row>
    <x:row r="2" ht="30" customHeight="1">
      <x:c r="A2" s="11" t="n">
        <x:f>RANK.EQ(G2,$G$2:$G$334,0)</x:f>
        <x:v>1</x:v>
      </x:c>
      <x:c r="B2" s="7" t="str">
        <x:v>JS-003</x:v>
      </x:c>
      <x:c r="C2" s="7" t="str">
        <x:v>JS</x:v>
      </x:c>
      <x:c r="D2" s="7" t="str">
        <x:v>A</x:v>
      </x:c>
      <x:c r="E2" s="8" t="str">
        <x:v>郑煦翔</x:v>
      </x:c>
      <x:c r="F2" s="10" t="str">
        <x:v>南京外国语学校</x:v>
      </x:c>
      <x:c r="G2" s="12" t="n">
        <x:f>SUM(H2:J2)+K2</x:f>
        <x:v>705</x:v>
      </x:c>
      <x:c r="H2" s="12" t="n">
        <x:v>100</x:v>
      </x:c>
      <x:c r="I2" s="12" t="n">
        <x:v>300</x:v>
      </x:c>
      <x:c r="J2" s="12" t="n">
        <x:v>300</x:v>
      </x:c>
      <x:c r="K2" s="12" t="n">
        <x:f>IF(D2="A",5,0)</x:f>
        <x:v>5</x:v>
      </x:c>
    </x:row>
    <x:row r="3" ht="30" customHeight="1">
      <x:c r="A3" s="11" t="n">
        <x:f>RANK.EQ(G3,$G$2:$G$334,0)</x:f>
        <x:v>2</x:v>
      </x:c>
      <x:c r="B3" s="7" t="str">
        <x:v>SH-001</x:v>
      </x:c>
      <x:c r="C3" s="7" t="str">
        <x:v>SH</x:v>
      </x:c>
      <x:c r="D3" s="7" t="str">
        <x:v>A</x:v>
      </x:c>
      <x:c r="E3" s="8" t="str">
        <x:v>姜博闻</x:v>
      </x:c>
      <x:c r="F3" s="10" t="str">
        <x:v>华东师范大学第二附属中学</x:v>
      </x:c>
      <x:c r="G3" s="12" t="n">
        <x:f>SUM(H3:J3)+K3</x:f>
        <x:v>704</x:v>
      </x:c>
      <x:c r="H3" s="12" t="n">
        <x:v>100</x:v>
      </x:c>
      <x:c r="I3" s="12" t="n">
        <x:v>299</x:v>
      </x:c>
      <x:c r="J3" s="12" t="n">
        <x:v>300</x:v>
      </x:c>
      <x:c r="K3" s="12" t="n">
        <x:f>IF(D3="A",5,0)</x:f>
        <x:v>5</x:v>
      </x:c>
    </x:row>
    <x:row r="4" ht="30" customHeight="1">
      <x:c r="A4" s="11" t="n">
        <x:f>RANK.EQ(G4,$G$2:$G$334,0)</x:f>
        <x:v>3</x:v>
      </x:c>
      <x:c r="B4" s="7" t="str">
        <x:v>ZJ-018</x:v>
      </x:c>
      <x:c r="C4" s="7" t="str">
        <x:v>ZJ</x:v>
      </x:c>
      <x:c r="D4" s="7" t="str">
        <x:v>B</x:v>
      </x:c>
      <x:c r="E4" s="8" t="str">
        <x:v>周以山</x:v>
      </x:c>
      <x:c r="F4" s="10" t="str">
        <x:v>杭州第二中学</x:v>
      </x:c>
      <x:c r="G4" s="12" t="n">
        <x:f>SUM(H4:J4)+K4</x:f>
        <x:v>697</x:v>
      </x:c>
      <x:c r="H4" s="12" t="n">
        <x:v>100</x:v>
      </x:c>
      <x:c r="I4" s="12" t="n">
        <x:v>297</x:v>
      </x:c>
      <x:c r="J4" s="12" t="n">
        <x:v>300</x:v>
      </x:c>
      <x:c r="K4" s="12" t="n">
        <x:f>IF(D4="A",5,0)</x:f>
        <x:v>0</x:v>
      </x:c>
    </x:row>
    <x:row r="5" ht="30" customHeight="1">
      <x:c r="A5" s="11" t="n">
        <x:f>RANK.EQ(G5,$G$2:$G$334,0)</x:f>
        <x:v>4</x:v>
      </x:c>
      <x:c r="B5" s="7" t="str">
        <x:v>JS-004</x:v>
      </x:c>
      <x:c r="C5" s="7" t="str">
        <x:v>JS</x:v>
      </x:c>
      <x:c r="D5" s="7" t="str">
        <x:v>A</x:v>
      </x:c>
      <x:c r="E5" s="8" t="str">
        <x:v>许淇文</x:v>
      </x:c>
      <x:c r="F5" s="10" t="str">
        <x:v>南京外国语学校</x:v>
      </x:c>
      <x:c r="G5" s="12" t="n">
        <x:f>SUM(H5:J5)+K5</x:f>
        <x:v>693</x:v>
      </x:c>
      <x:c r="H5" s="12" t="n">
        <x:v>100</x:v>
      </x:c>
      <x:c r="I5" s="12" t="n">
        <x:v>288</x:v>
      </x:c>
      <x:c r="J5" s="12" t="n">
        <x:v>300</x:v>
      </x:c>
      <x:c r="K5" s="12" t="n">
        <x:f>IF(D5="A",5,0)</x:f>
        <x:v>5</x:v>
      </x:c>
    </x:row>
    <x:row r="6" ht="30" customHeight="1">
      <x:c r="A6" s="11" t="n">
        <x:f>RANK.EQ(G6,$G$2:$G$334,0)</x:f>
        <x:v>5</x:v>
      </x:c>
      <x:c r="B6" s="7" t="str">
        <x:v>SH-014</x:v>
      </x:c>
      <x:c r="C6" s="7" t="str">
        <x:v>SH</x:v>
      </x:c>
      <x:c r="D6" s="7" t="str">
        <x:v>B</x:v>
      </x:c>
      <x:c r="E6" s="8" t="str">
        <x:v>韩书简</x:v>
      </x:c>
      <x:c r="F6" s="10" t="str">
        <x:v>华东师范大学第二附属中学</x:v>
      </x:c>
      <x:c r="G6" s="12" t="n">
        <x:f>SUM(H6:J6)+K6</x:f>
        <x:v>691</x:v>
      </x:c>
      <x:c r="H6" s="12" t="n">
        <x:v>100</x:v>
      </x:c>
      <x:c r="I6" s="12" t="n">
        <x:v>299</x:v>
      </x:c>
      <x:c r="J6" s="12" t="n">
        <x:v>292</x:v>
      </x:c>
      <x:c r="K6" s="12" t="n">
        <x:f>IF(D6="A",5,0)</x:f>
        <x:v>0</x:v>
      </x:c>
    </x:row>
    <x:row r="7" ht="30" customHeight="1">
      <x:c r="A7" s="11" t="n">
        <x:f>RANK.EQ(G7,$G$2:$G$334,0)</x:f>
        <x:v>6</x:v>
      </x:c>
      <x:c r="B7" s="7" t="str">
        <x:v>SD-004</x:v>
      </x:c>
      <x:c r="C7" s="7" t="str">
        <x:v>SD</x:v>
      </x:c>
      <x:c r="D7" s="7" t="str">
        <x:v>A</x:v>
      </x:c>
      <x:c r="E7" s="8" t="str">
        <x:v>杨永昌</x:v>
      </x:c>
      <x:c r="F7" s="10" t="str">
        <x:v>青岛市城阳第一高级中学</x:v>
      </x:c>
      <x:c r="G7" s="12" t="n">
        <x:f>SUM(H7:J7)+K7</x:f>
        <x:v>676</x:v>
      </x:c>
      <x:c r="H7" s="12" t="n">
        <x:v>100</x:v>
      </x:c>
      <x:c r="I7" s="12" t="n">
        <x:v>295</x:v>
      </x:c>
      <x:c r="J7" s="12" t="n">
        <x:v>276</x:v>
      </x:c>
      <x:c r="K7" s="12" t="n">
        <x:f>IF(D7="A",5,0)</x:f>
        <x:v>5</x:v>
      </x:c>
    </x:row>
    <x:row r="8" ht="30" customHeight="1">
      <x:c r="A8" s="11" t="n">
        <x:f>RANK.EQ(G8,$G$2:$G$334,0)</x:f>
        <x:v>7</x:v>
      </x:c>
      <x:c r="B8" s="7" t="str">
        <x:v>GD-002</x:v>
      </x:c>
      <x:c r="C8" s="7" t="str">
        <x:v>GD</x:v>
      </x:c>
      <x:c r="D8" s="7" t="str">
        <x:v>A</x:v>
      </x:c>
      <x:c r="E8" s="8" t="str">
        <x:v>戴睿宸</x:v>
      </x:c>
      <x:c r="F8" s="10" t="str">
        <x:v>华南师范大学附属中学</x:v>
      </x:c>
      <x:c r="G8" s="12" t="n">
        <x:f>SUM(H8:J8)+K8</x:f>
        <x:v>675</x:v>
      </x:c>
      <x:c r="H8" s="12" t="n">
        <x:v>100</x:v>
      </x:c>
      <x:c r="I8" s="12" t="n">
        <x:v>298</x:v>
      </x:c>
      <x:c r="J8" s="12" t="n">
        <x:v>272</x:v>
      </x:c>
      <x:c r="K8" s="12" t="n">
        <x:f>IF(D8="A",5,0)</x:f>
        <x:v>5</x:v>
      </x:c>
    </x:row>
    <x:row r="9" ht="30" customHeight="1">
      <x:c r="A9" s="11" t="n">
        <x:f>RANK.EQ(G9,$G$2:$G$334,0)</x:f>
        <x:v>8</x:v>
      </x:c>
      <x:c r="B9" s="7" t="str">
        <x:v>JS-016</x:v>
      </x:c>
      <x:c r="C9" s="7" t="str">
        <x:v>JS</x:v>
      </x:c>
      <x:c r="D9" s="7" t="str">
        <x:v>B</x:v>
      </x:c>
      <x:c r="E9" s="8" t="str">
        <x:v>张一藩</x:v>
      </x:c>
      <x:c r="F9" s="10" t="str">
        <x:v>江苏省锡山高级中学</x:v>
      </x:c>
      <x:c r="G9" s="12" t="n">
        <x:f>SUM(H9:J9)+K9</x:f>
        <x:v>661</x:v>
      </x:c>
      <x:c r="H9" s="12" t="n">
        <x:v>100</x:v>
      </x:c>
      <x:c r="I9" s="12" t="n">
        <x:v>273</x:v>
      </x:c>
      <x:c r="J9" s="12" t="n">
        <x:v>288</x:v>
      </x:c>
      <x:c r="K9" s="12" t="n">
        <x:f>IF(D9="A",5,0)</x:f>
        <x:v>0</x:v>
      </x:c>
    </x:row>
    <x:row r="10" ht="30" customHeight="1">
      <x:c r="A10" s="11" t="n">
        <x:f>RANK.EQ(G10,$G$2:$G$334,0)</x:f>
        <x:v>9</x:v>
      </x:c>
      <x:c r="B10" s="7" t="str">
        <x:v>GD-004</x:v>
      </x:c>
      <x:c r="C10" s="7" t="str">
        <x:v>GD</x:v>
      </x:c>
      <x:c r="D10" s="7" t="str">
        <x:v>A</x:v>
      </x:c>
      <x:c r="E10" s="8" t="str">
        <x:v>张乐涛</x:v>
      </x:c>
      <x:c r="F10" s="10" t="str">
        <x:v>广州大学附属中学</x:v>
      </x:c>
      <x:c r="G10" s="12" t="n">
        <x:f>SUM(H10:J10)+K10</x:f>
        <x:v>648</x:v>
      </x:c>
      <x:c r="H10" s="12" t="n">
        <x:v>100</x:v>
      </x:c>
      <x:c r="I10" s="12" t="n">
        <x:v>283</x:v>
      </x:c>
      <x:c r="J10" s="12" t="n">
        <x:v>260</x:v>
      </x:c>
      <x:c r="K10" s="12" t="n">
        <x:f>IF(D10="A",5,0)</x:f>
        <x:v>5</x:v>
      </x:c>
    </x:row>
    <x:row r="11" ht="30" customHeight="1">
      <x:c r="A11" s="11" t="n">
        <x:f>RANK.EQ(G11,$G$2:$G$334,0)</x:f>
        <x:v>10</x:v>
      </x:c>
      <x:c r="B11" s="7" t="str">
        <x:v>ZJ-004</x:v>
      </x:c>
      <x:c r="C11" s="7" t="str">
        <x:v>ZJ</x:v>
      </x:c>
      <x:c r="D11" s="7" t="str">
        <x:v>A</x:v>
      </x:c>
      <x:c r="E11" s="8" t="str">
        <x:v>吴旻逸</x:v>
      </x:c>
      <x:c r="F11" s="10" t="str">
        <x:v>浙江省诸暨市海亮高级中学</x:v>
      </x:c>
      <x:c r="G11" s="12" t="n">
        <x:f>SUM(H11:J11)+K11</x:f>
        <x:v>647</x:v>
      </x:c>
      <x:c r="H11" s="12" t="n">
        <x:v>100</x:v>
      </x:c>
      <x:c r="I11" s="12" t="n">
        <x:v>290</x:v>
      </x:c>
      <x:c r="J11" s="12" t="n">
        <x:v>252</x:v>
      </x:c>
      <x:c r="K11" s="12" t="n">
        <x:f>IF(D11="A",5,0)</x:f>
        <x:v>5</x:v>
      </x:c>
    </x:row>
    <x:row r="12" ht="30" customHeight="1">
      <x:c r="A12" s="11" t="n">
        <x:f>RANK.EQ(G12,$G$2:$G$334,0)</x:f>
        <x:v>11</x:v>
      </x:c>
      <x:c r="B12" s="7" t="str">
        <x:v>JS-011</x:v>
      </x:c>
      <x:c r="C12" s="7" t="str">
        <x:v>JS</x:v>
      </x:c>
      <x:c r="D12" s="7" t="str">
        <x:v>B</x:v>
      </x:c>
      <x:c r="E12" s="8" t="str">
        <x:v>华高涵</x:v>
      </x:c>
      <x:c r="F12" s="10" t="str">
        <x:v>南京市金陵河西学校</x:v>
      </x:c>
      <x:c r="G12" s="12" t="n">
        <x:f>SUM(H12:J12)+K12</x:f>
        <x:v>643</x:v>
      </x:c>
      <x:c r="H12" s="12" t="n">
        <x:v>100</x:v>
      </x:c>
      <x:c r="I12" s="12" t="n">
        <x:v>275</x:v>
      </x:c>
      <x:c r="J12" s="12" t="n">
        <x:v>268</x:v>
      </x:c>
      <x:c r="K12" s="12" t="n">
        <x:f>IF(D12="A",5,0)</x:f>
        <x:v>0</x:v>
      </x:c>
    </x:row>
    <x:row r="13" ht="30" customHeight="1">
      <x:c r="A13" s="11" t="n">
        <x:f>RANK.EQ(G13,$G$2:$G$334,0)</x:f>
        <x:v>12</x:v>
      </x:c>
      <x:c r="B13" s="7" t="str">
        <x:v>SD-001</x:v>
      </x:c>
      <x:c r="C13" s="7" t="str">
        <x:v>SD</x:v>
      </x:c>
      <x:c r="D13" s="7" t="str">
        <x:v>A</x:v>
      </x:c>
      <x:c r="E13" s="8" t="str">
        <x:v>王茂骅</x:v>
      </x:c>
      <x:c r="F13" s="10" t="str">
        <x:v>烟台青华中学</x:v>
      </x:c>
      <x:c r="G13" s="12" t="n">
        <x:f>SUM(H13:J13)+K13</x:f>
        <x:v>641</x:v>
      </x:c>
      <x:c r="H13" s="12" t="n">
        <x:v>100</x:v>
      </x:c>
      <x:c r="I13" s="12" t="n">
        <x:v>296</x:v>
      </x:c>
      <x:c r="J13" s="12" t="n">
        <x:v>240</x:v>
      </x:c>
      <x:c r="K13" s="12" t="n">
        <x:f>IF(D13="A",5,0)</x:f>
        <x:v>5</x:v>
      </x:c>
    </x:row>
    <x:row r="14" ht="30" customHeight="1">
      <x:c r="A14" s="11" t="n">
        <x:f>RANK.EQ(G14,$G$2:$G$334,0)</x:f>
        <x:v>13</x:v>
      </x:c>
      <x:c r="B14" s="7" t="str">
        <x:v>JS-010</x:v>
      </x:c>
      <x:c r="C14" s="7" t="str">
        <x:v>JS</x:v>
      </x:c>
      <x:c r="D14" s="7" t="str">
        <x:v>B</x:v>
      </x:c>
      <x:c r="E14" s="8" t="str">
        <x:v>裴牧达</x:v>
      </x:c>
      <x:c r="F14" s="10" t="str">
        <x:v>南京市金陵河西学校</x:v>
      </x:c>
      <x:c r="G14" s="12" t="n">
        <x:f>SUM(H14:J14)+K14</x:f>
        <x:v>639</x:v>
      </x:c>
      <x:c r="H14" s="12" t="n">
        <x:v>100</x:v>
      </x:c>
      <x:c r="I14" s="12" t="n">
        <x:v>280</x:v>
      </x:c>
      <x:c r="J14" s="12" t="n">
        <x:v>259</x:v>
      </x:c>
      <x:c r="K14" s="12" t="n">
        <x:f>IF(D14="A",5,0)</x:f>
        <x:v>0</x:v>
      </x:c>
    </x:row>
    <x:row r="15" ht="30" customHeight="1">
      <x:c r="A15" s="11" t="n">
        <x:f>RANK.EQ(G15,$G$2:$G$334,0)</x:f>
        <x:v>14</x:v>
      </x:c>
      <x:c r="B15" s="7" t="str">
        <x:v>HA-003</x:v>
      </x:c>
      <x:c r="C15" s="7" t="str">
        <x:v>HA</x:v>
      </x:c>
      <x:c r="D15" s="7" t="str">
        <x:v>A</x:v>
      </x:c>
      <x:c r="E15" s="8" t="str">
        <x:v>赵一博</x:v>
      </x:c>
      <x:c r="F15" s="10" t="str">
        <x:v>郑州外国语学校</x:v>
      </x:c>
      <x:c r="G15" s="12" t="n">
        <x:f>SUM(H15:J15)+K15</x:f>
        <x:v>637</x:v>
      </x:c>
      <x:c r="H15" s="12" t="n">
        <x:v>100</x:v>
      </x:c>
      <x:c r="I15" s="12" t="n">
        <x:v>292</x:v>
      </x:c>
      <x:c r="J15" s="12" t="n">
        <x:v>240</x:v>
      </x:c>
      <x:c r="K15" s="12" t="n">
        <x:f>IF(D15="A",5,0)</x:f>
        <x:v>5</x:v>
      </x:c>
    </x:row>
    <x:row r="16" ht="30" customHeight="1">
      <x:c r="A16" s="11" t="n">
        <x:f>RANK.EQ(G16,$G$2:$G$334,0)</x:f>
        <x:v>15</x:v>
      </x:c>
      <x:c r="B16" s="7" t="str">
        <x:v>ZJ-009</x:v>
      </x:c>
      <x:c r="C16" s="7" t="str">
        <x:v>ZJ</x:v>
      </x:c>
      <x:c r="D16" s="7" t="str">
        <x:v>B</x:v>
      </x:c>
      <x:c r="E16" s="8" t="str">
        <x:v>黄仁和</x:v>
      </x:c>
      <x:c r="F16" s="10" t="str">
        <x:v>浙江省温州中学</x:v>
      </x:c>
      <x:c r="G16" s="12" t="n">
        <x:f>SUM(H16:J16)+K16</x:f>
        <x:v>632</x:v>
      </x:c>
      <x:c r="H16" s="12" t="n">
        <x:v>100</x:v>
      </x:c>
      <x:c r="I16" s="12" t="n">
        <x:v>260</x:v>
      </x:c>
      <x:c r="J16" s="12" t="n">
        <x:v>272</x:v>
      </x:c>
      <x:c r="K16" s="12" t="n">
        <x:f>IF(D16="A",5,0)</x:f>
        <x:v>0</x:v>
      </x:c>
    </x:row>
    <x:row r="17" ht="30" customHeight="1">
      <x:c r="A17" s="11" t="n">
        <x:f>RANK.EQ(G17,$G$2:$G$334,0)</x:f>
        <x:v>16</x:v>
      </x:c>
      <x:c r="B17" s="7" t="str">
        <x:v>SH-004</x:v>
      </x:c>
      <x:c r="C17" s="7" t="str">
        <x:v>SH</x:v>
      </x:c>
      <x:c r="D17" s="7" t="str">
        <x:v>A</x:v>
      </x:c>
      <x:c r="E17" s="8" t="str">
        <x:v>陈思瀚</x:v>
      </x:c>
      <x:c r="F17" s="10" t="str">
        <x:v>上海外国语大学附属外国语学校</x:v>
      </x:c>
      <x:c r="G17" s="12" t="n">
        <x:f>SUM(H17:J17)+K17</x:f>
        <x:v>621</x:v>
      </x:c>
      <x:c r="H17" s="12" t="n">
        <x:v>100</x:v>
      </x:c>
      <x:c r="I17" s="12" t="n">
        <x:v>300</x:v>
      </x:c>
      <x:c r="J17" s="12" t="n">
        <x:v>216</x:v>
      </x:c>
      <x:c r="K17" s="12" t="n">
        <x:f>IF(D17="A",5,0)</x:f>
        <x:v>5</x:v>
      </x:c>
    </x:row>
    <x:row r="18" ht="30" customHeight="1">
      <x:c r="A18" s="11" t="n">
        <x:f>RANK.EQ(G18,$G$2:$G$334,0)</x:f>
        <x:v>17</x:v>
      </x:c>
      <x:c r="B18" s="7" t="str">
        <x:v>HB-002</x:v>
      </x:c>
      <x:c r="C18" s="7" t="str">
        <x:v>HB</x:v>
      </x:c>
      <x:c r="D18" s="7" t="str">
        <x:v>A</x:v>
      </x:c>
      <x:c r="E18" s="8" t="str">
        <x:v>柳子宁</x:v>
      </x:c>
      <x:c r="F18" s="10" t="str">
        <x:v>华中师范大学第一附属中学</x:v>
      </x:c>
      <x:c r="G18" s="12" t="n">
        <x:f>SUM(H18:J18)+K18</x:f>
        <x:v>620</x:v>
      </x:c>
      <x:c r="H18" s="12" t="n">
        <x:v>100</x:v>
      </x:c>
      <x:c r="I18" s="12" t="n">
        <x:v>283</x:v>
      </x:c>
      <x:c r="J18" s="12" t="n">
        <x:v>232</x:v>
      </x:c>
      <x:c r="K18" s="12" t="n">
        <x:f>IF(D18="A",5,0)</x:f>
        <x:v>5</x:v>
      </x:c>
    </x:row>
    <x:row r="19" ht="30" customHeight="1">
      <x:c r="A19" s="11" t="n">
        <x:f>RANK.EQ(G19,$G$2:$G$334,0)</x:f>
        <x:v>18</x:v>
      </x:c>
      <x:c r="B19" s="7" t="str">
        <x:v>CQ-001</x:v>
      </x:c>
      <x:c r="C19" s="7" t="str">
        <x:v>CQ</x:v>
      </x:c>
      <x:c r="D19" s="7" t="str">
        <x:v>A</x:v>
      </x:c>
      <x:c r="E19" s="8" t="str">
        <x:v>殷骏</x:v>
      </x:c>
      <x:c r="F19" s="10" t="str">
        <x:v>重庆市巴蜀中学校</x:v>
      </x:c>
      <x:c r="G19" s="12" t="n">
        <x:f>SUM(H19:J19)+K19</x:f>
        <x:v>619</x:v>
      </x:c>
      <x:c r="H19" s="12" t="n">
        <x:v>100</x:v>
      </x:c>
      <x:c r="I19" s="12" t="n">
        <x:v>214</x:v>
      </x:c>
      <x:c r="J19" s="12" t="n">
        <x:v>300</x:v>
      </x:c>
      <x:c r="K19" s="12" t="n">
        <x:f>IF(D19="A",5,0)</x:f>
        <x:v>5</x:v>
      </x:c>
    </x:row>
    <x:row r="20" ht="30" customHeight="1">
      <x:c r="A20" s="11" t="n">
        <x:f>RANK.EQ(G20,$G$2:$G$334,0)</x:f>
        <x:v>18</x:v>
      </x:c>
      <x:c r="B20" s="7" t="str">
        <x:v>HA-005</x:v>
      </x:c>
      <x:c r="C20" s="7" t="str">
        <x:v>HA</x:v>
      </x:c>
      <x:c r="D20" s="7" t="str">
        <x:v>A</x:v>
      </x:c>
      <x:c r="E20" s="8" t="str">
        <x:v>赵旭航</x:v>
      </x:c>
      <x:c r="F20" s="10" t="str">
        <x:v>郑州外国语学校</x:v>
      </x:c>
      <x:c r="G20" s="12" t="n">
        <x:f>SUM(H20:J20)+K20</x:f>
        <x:v>619</x:v>
      </x:c>
      <x:c r="H20" s="12" t="n">
        <x:v>100</x:v>
      </x:c>
      <x:c r="I20" s="12" t="n">
        <x:v>298</x:v>
      </x:c>
      <x:c r="J20" s="12" t="n">
        <x:v>216</x:v>
      </x:c>
      <x:c r="K20" s="12" t="n">
        <x:f>IF(D20="A",5,0)</x:f>
        <x:v>5</x:v>
      </x:c>
    </x:row>
    <x:row r="21" ht="30" customHeight="1">
      <x:c r="A21" s="11" t="n">
        <x:f>RANK.EQ(G21,$G$2:$G$334,0)</x:f>
        <x:v>20</x:v>
      </x:c>
      <x:c r="B21" s="7" t="str">
        <x:v>GS-004</x:v>
      </x:c>
      <x:c r="C21" s="7" t="str">
        <x:v>GS</x:v>
      </x:c>
      <x:c r="D21" s="7" t="str">
        <x:v>A</x:v>
      </x:c>
      <x:c r="E21" s="8" t="str">
        <x:v>李劭鸿</x:v>
      </x:c>
      <x:c r="F21" s="10" t="str">
        <x:v>西北师范大学附属中学</x:v>
      </x:c>
      <x:c r="G21" s="12" t="n">
        <x:f>SUM(H21:J21)+K21</x:f>
        <x:v>617</x:v>
      </x:c>
      <x:c r="H21" s="12" t="n">
        <x:v>100</x:v>
      </x:c>
      <x:c r="I21" s="12" t="n">
        <x:v>270</x:v>
      </x:c>
      <x:c r="J21" s="12" t="n">
        <x:v>242</x:v>
      </x:c>
      <x:c r="K21" s="12" t="n">
        <x:f>IF(D21="A",5,0)</x:f>
        <x:v>5</x:v>
      </x:c>
    </x:row>
    <x:row r="22" ht="30" customHeight="1">
      <x:c r="A22" s="11" t="n">
        <x:f>RANK.EQ(G22,$G$2:$G$334,0)</x:f>
        <x:v>20</x:v>
      </x:c>
      <x:c r="B22" s="7" t="str">
        <x:v>ZJ-006</x:v>
      </x:c>
      <x:c r="C22" s="7" t="str">
        <x:v>ZJ</x:v>
      </x:c>
      <x:c r="D22" s="7" t="str">
        <x:v>B</x:v>
      </x:c>
      <x:c r="E22" s="8" t="str">
        <x:v>陈子易</x:v>
      </x:c>
      <x:c r="F22" s="10" t="str">
        <x:v>宁波市镇海蛟川书院</x:v>
      </x:c>
      <x:c r="G22" s="12" t="n">
        <x:f>SUM(H22:J22)+K22</x:f>
        <x:v>617</x:v>
      </x:c>
      <x:c r="H22" s="12" t="n">
        <x:v>100</x:v>
      </x:c>
      <x:c r="I22" s="12" t="n">
        <x:v>237</x:v>
      </x:c>
      <x:c r="J22" s="12" t="n">
        <x:v>280</x:v>
      </x:c>
      <x:c r="K22" s="12" t="n">
        <x:f>IF(D22="A",5,0)</x:f>
        <x:v>0</x:v>
      </x:c>
    </x:row>
    <x:row r="23" ht="30" customHeight="1">
      <x:c r="A23" s="11" t="n">
        <x:f>RANK.EQ(G23,$G$2:$G$334,0)</x:f>
        <x:v>22</x:v>
      </x:c>
      <x:c r="B23" s="7" t="str">
        <x:v>BJ-002</x:v>
      </x:c>
      <x:c r="C23" s="7" t="str">
        <x:v>BJ</x:v>
      </x:c>
      <x:c r="D23" s="7" t="str">
        <x:v>A</x:v>
      </x:c>
      <x:c r="E23" s="8" t="str">
        <x:v>柳宏谦</x:v>
      </x:c>
      <x:c r="F23" s="10" t="str">
        <x:v>中国人民大学附属中学</x:v>
      </x:c>
      <x:c r="G23" s="12" t="n">
        <x:f>SUM(H23:J23)+K23</x:f>
        <x:v>614</x:v>
      </x:c>
      <x:c r="H23" s="12" t="n">
        <x:v>100</x:v>
      </x:c>
      <x:c r="I23" s="12" t="n">
        <x:v>269</x:v>
      </x:c>
      <x:c r="J23" s="12" t="n">
        <x:v>240</x:v>
      </x:c>
      <x:c r="K23" s="12" t="n">
        <x:f>IF(D23="A",5,0)</x:f>
        <x:v>5</x:v>
      </x:c>
    </x:row>
    <x:row r="24" ht="30" customHeight="1">
      <x:c r="A24" s="11" t="n">
        <x:f>RANK.EQ(G24,$G$2:$G$334,0)</x:f>
        <x:v>22</x:v>
      </x:c>
      <x:c r="B24" s="7" t="str">
        <x:v>SD-002</x:v>
      </x:c>
      <x:c r="C24" s="7" t="str">
        <x:v>SD</x:v>
      </x:c>
      <x:c r="D24" s="7" t="str">
        <x:v>A</x:v>
      </x:c>
      <x:c r="E24" s="8" t="str">
        <x:v>郝泽睿</x:v>
      </x:c>
      <x:c r="F24" s="10" t="str">
        <x:v>济南市历城第二中学</x:v>
      </x:c>
      <x:c r="G24" s="12" t="n">
        <x:f>SUM(H24:J24)+K24</x:f>
        <x:v>614</x:v>
      </x:c>
      <x:c r="H24" s="12" t="n">
        <x:v>100</x:v>
      </x:c>
      <x:c r="I24" s="12" t="n">
        <x:v>269</x:v>
      </x:c>
      <x:c r="J24" s="12" t="n">
        <x:v>240</x:v>
      </x:c>
      <x:c r="K24" s="12" t="n">
        <x:f>IF(D24="A",5,0)</x:f>
        <x:v>5</x:v>
      </x:c>
    </x:row>
    <x:row r="25" ht="30" customHeight="1">
      <x:c r="A25" s="11" t="n">
        <x:f>RANK.EQ(G25,$G$2:$G$334,0)</x:f>
        <x:v>24</x:v>
      </x:c>
      <x:c r="B25" s="7" t="str">
        <x:v>JS-002</x:v>
      </x:c>
      <x:c r="C25" s="7" t="str">
        <x:v>JS</x:v>
      </x:c>
      <x:c r="D25" s="7" t="str">
        <x:v>A</x:v>
      </x:c>
      <x:c r="E25" s="8" t="str">
        <x:v>仇嘉明</x:v>
      </x:c>
      <x:c r="F25" s="10" t="str">
        <x:v>南京市金陵河西学校</x:v>
      </x:c>
      <x:c r="G25" s="12" t="n">
        <x:f>SUM(H25:J25)+K25</x:f>
        <x:v>613</x:v>
      </x:c>
      <x:c r="H25" s="12" t="n">
        <x:v>100</x:v>
      </x:c>
      <x:c r="I25" s="12" t="n">
        <x:v>300</x:v>
      </x:c>
      <x:c r="J25" s="12" t="n">
        <x:v>208</x:v>
      </x:c>
      <x:c r="K25" s="12" t="n">
        <x:f>IF(D25="A",5,0)</x:f>
        <x:v>5</x:v>
      </x:c>
    </x:row>
    <x:row r="26" ht="30" customHeight="1">
      <x:c r="A26" s="11" t="n">
        <x:f>RANK.EQ(G26,$G$2:$G$334,0)</x:f>
        <x:v>25</x:v>
      </x:c>
      <x:c r="B26" s="7" t="str">
        <x:v>GD-003</x:v>
      </x:c>
      <x:c r="C26" s="7" t="str">
        <x:v>GD</x:v>
      </x:c>
      <x:c r="D26" s="7" t="str">
        <x:v>A</x:v>
      </x:c>
      <x:c r="E26" s="8" t="str">
        <x:v>叶隽霖</x:v>
      </x:c>
      <x:c r="F26" s="10" t="str">
        <x:v>华南师范大学附属中学</x:v>
      </x:c>
      <x:c r="G26" s="12" t="n">
        <x:f>SUM(H26:J26)+K26</x:f>
        <x:v>609</x:v>
      </x:c>
      <x:c r="H26" s="12" t="n">
        <x:v>100</x:v>
      </x:c>
      <x:c r="I26" s="12" t="n">
        <x:v>297</x:v>
      </x:c>
      <x:c r="J26" s="12" t="n">
        <x:v>207</x:v>
      </x:c>
      <x:c r="K26" s="12" t="n">
        <x:f>IF(D26="A",5,0)</x:f>
        <x:v>5</x:v>
      </x:c>
    </x:row>
    <x:row r="27" ht="30" customHeight="1">
      <x:c r="A27" s="11" t="n">
        <x:f>RANK.EQ(G27,$G$2:$G$334,0)</x:f>
        <x:v>25</x:v>
      </x:c>
      <x:c r="B27" s="7" t="str">
        <x:v>GD-009</x:v>
      </x:c>
      <x:c r="C27" s="7" t="str">
        <x:v>GD</x:v>
      </x:c>
      <x:c r="D27" s="7" t="str">
        <x:v>B</x:v>
      </x:c>
      <x:c r="E27" s="8" t="str">
        <x:v>叶名瀚</x:v>
      </x:c>
      <x:c r="F27" s="10" t="str">
        <x:v>华南师范大学附属中学</x:v>
      </x:c>
      <x:c r="G27" s="12" t="n">
        <x:f>SUM(H27:J27)+K27</x:f>
        <x:v>609</x:v>
      </x:c>
      <x:c r="H27" s="12" t="n">
        <x:v>100</x:v>
      </x:c>
      <x:c r="I27" s="12" t="n">
        <x:v>297</x:v>
      </x:c>
      <x:c r="J27" s="12" t="n">
        <x:v>212</x:v>
      </x:c>
      <x:c r="K27" s="12" t="n">
        <x:f>IF(D27="A",5,0)</x:f>
        <x:v>0</x:v>
      </x:c>
    </x:row>
    <x:row r="28" ht="30" customHeight="1">
      <x:c r="A28" s="11" t="n">
        <x:f>RANK.EQ(G28,$G$2:$G$334,0)</x:f>
        <x:v>27</x:v>
      </x:c>
      <x:c r="B28" s="7" t="str">
        <x:v>HN-001</x:v>
      </x:c>
      <x:c r="C28" s="7" t="str">
        <x:v>HN</x:v>
      </x:c>
      <x:c r="D28" s="7" t="str">
        <x:v>A</x:v>
      </x:c>
      <x:c r="E28" s="8" t="str">
        <x:v>程楷轩</x:v>
      </x:c>
      <x:c r="F28" s="10" t="str">
        <x:v>长沙市长郡中学</x:v>
      </x:c>
      <x:c r="G28" s="12" t="n">
        <x:f>SUM(H28:J28)+K28</x:f>
        <x:v>606</x:v>
      </x:c>
      <x:c r="H28" s="12" t="n">
        <x:v>100</x:v>
      </x:c>
      <x:c r="I28" s="12" t="n">
        <x:v>293</x:v>
      </x:c>
      <x:c r="J28" s="12" t="n">
        <x:v>208</x:v>
      </x:c>
      <x:c r="K28" s="12" t="n">
        <x:f>IF(D28="A",5,0)</x:f>
        <x:v>5</x:v>
      </x:c>
    </x:row>
    <x:row r="29" ht="30" customHeight="1">
      <x:c r="A29" s="11" t="n">
        <x:f>RANK.EQ(G29,$G$2:$G$334,0)</x:f>
        <x:v>27</x:v>
      </x:c>
      <x:c r="B29" s="7" t="str">
        <x:v>ZJ-008</x:v>
      </x:c>
      <x:c r="C29" s="7" t="str">
        <x:v>ZJ</x:v>
      </x:c>
      <x:c r="D29" s="7" t="str">
        <x:v>B</x:v>
      </x:c>
      <x:c r="E29" s="8" t="str">
        <x:v>郭音赫</x:v>
      </x:c>
      <x:c r="F29" s="10" t="str">
        <x:v>杭州第二中学</x:v>
      </x:c>
      <x:c r="G29" s="12" t="n">
        <x:f>SUM(H29:J29)+K29</x:f>
        <x:v>606</x:v>
      </x:c>
      <x:c r="H29" s="12" t="n">
        <x:v>100</x:v>
      </x:c>
      <x:c r="I29" s="12" t="n">
        <x:v>290</x:v>
      </x:c>
      <x:c r="J29" s="12" t="n">
        <x:v>216</x:v>
      </x:c>
      <x:c r="K29" s="12" t="n">
        <x:f>IF(D29="A",5,0)</x:f>
        <x:v>0</x:v>
      </x:c>
    </x:row>
    <x:row r="30" ht="30" customHeight="1">
      <x:c r="A30" s="11" t="n">
        <x:f>RANK.EQ(G30,$G$2:$G$334,0)</x:f>
        <x:v>29</x:v>
      </x:c>
      <x:c r="B30" s="7" t="str">
        <x:v>FJ-003</x:v>
      </x:c>
      <x:c r="C30" s="7" t="str">
        <x:v>FJ</x:v>
      </x:c>
      <x:c r="D30" s="7" t="str">
        <x:v>A</x:v>
      </x:c>
      <x:c r="E30" s="8" t="str">
        <x:v>林一帆</x:v>
      </x:c>
      <x:c r="F30" s="10" t="str">
        <x:v>福建省福州第一中学</x:v>
      </x:c>
      <x:c r="G30" s="12" t="n">
        <x:f>SUM(H30:J30)+K30</x:f>
        <x:v>603</x:v>
      </x:c>
      <x:c r="H30" s="12" t="n">
        <x:v>100</x:v>
      </x:c>
      <x:c r="I30" s="12" t="n">
        <x:v>214</x:v>
      </x:c>
      <x:c r="J30" s="12" t="n">
        <x:v>284</x:v>
      </x:c>
      <x:c r="K30" s="12" t="n">
        <x:f>IF(D30="A",5,0)</x:f>
        <x:v>5</x:v>
      </x:c>
    </x:row>
    <x:row r="31" ht="30" customHeight="1">
      <x:c r="A31" s="11" t="n">
        <x:f>RANK.EQ(G31,$G$2:$G$334,0)</x:f>
        <x:v>30</x:v>
      </x:c>
      <x:c r="B31" s="7" t="str">
        <x:v>GD-001</x:v>
      </x:c>
      <x:c r="C31" s="7" t="str">
        <x:v>GD</x:v>
      </x:c>
      <x:c r="D31" s="7" t="str">
        <x:v>A</x:v>
      </x:c>
      <x:c r="E31" s="8" t="str">
        <x:v>范璟阳</x:v>
      </x:c>
      <x:c r="F31" s="10" t="str">
        <x:v>广州市第二中学</x:v>
      </x:c>
      <x:c r="G31" s="12" t="n">
        <x:f>SUM(H31:J31)+K31</x:f>
        <x:v>602</x:v>
      </x:c>
      <x:c r="H31" s="12" t="n">
        <x:v>100</x:v>
      </x:c>
      <x:c r="I31" s="12" t="n">
        <x:v>289</x:v>
      </x:c>
      <x:c r="J31" s="12" t="n">
        <x:v>208</x:v>
      </x:c>
      <x:c r="K31" s="12" t="n">
        <x:f>IF(D31="A",5,0)</x:f>
        <x:v>5</x:v>
      </x:c>
    </x:row>
    <x:row r="32" ht="30" customHeight="1">
      <x:c r="A32" s="11" t="n">
        <x:f>RANK.EQ(G32,$G$2:$G$334,0)</x:f>
        <x:v>31</x:v>
      </x:c>
      <x:c r="B32" s="7" t="str">
        <x:v>HB-003</x:v>
      </x:c>
      <x:c r="C32" s="7" t="str">
        <x:v>HB</x:v>
      </x:c>
      <x:c r="D32" s="7" t="str">
        <x:v>A</x:v>
      </x:c>
      <x:c r="E32" s="8" t="str">
        <x:v>翁佳良</x:v>
      </x:c>
      <x:c r="F32" s="10" t="str">
        <x:v>武汉外国语学校</x:v>
      </x:c>
      <x:c r="G32" s="12" t="n">
        <x:f>SUM(H32:J32)+K32</x:f>
        <x:v>601</x:v>
      </x:c>
      <x:c r="H32" s="12" t="n">
        <x:v>100</x:v>
      </x:c>
      <x:c r="I32" s="12" t="n">
        <x:v>248</x:v>
      </x:c>
      <x:c r="J32" s="12" t="n">
        <x:v>248</x:v>
      </x:c>
      <x:c r="K32" s="12" t="n">
        <x:f>IF(D32="A",5,0)</x:f>
        <x:v>5</x:v>
      </x:c>
    </x:row>
    <x:row r="33" ht="30" customHeight="1">
      <x:c r="A33" s="11" t="n">
        <x:f>RANK.EQ(G33,$G$2:$G$334,0)</x:f>
        <x:v>32</x:v>
      </x:c>
      <x:c r="B33" s="7" t="str">
        <x:v>CQ-002</x:v>
      </x:c>
      <x:c r="C33" s="7" t="str">
        <x:v>CQ</x:v>
      </x:c>
      <x:c r="D33" s="7" t="str">
        <x:v>A</x:v>
      </x:c>
      <x:c r="E33" s="8" t="str">
        <x:v>李奕希</x:v>
      </x:c>
      <x:c r="F33" s="10" t="str">
        <x:v>重庆市南开中学校</x:v>
      </x:c>
      <x:c r="G33" s="12" t="n">
        <x:f>SUM(H33:J33)+K33</x:f>
        <x:v>598</x:v>
      </x:c>
      <x:c r="H33" s="12" t="n">
        <x:v>100</x:v>
      </x:c>
      <x:c r="I33" s="12" t="n">
        <x:v>281</x:v>
      </x:c>
      <x:c r="J33" s="12" t="n">
        <x:v>212</x:v>
      </x:c>
      <x:c r="K33" s="12" t="n">
        <x:f>IF(D33="A",5,0)</x:f>
        <x:v>5</x:v>
      </x:c>
    </x:row>
    <x:row r="34" ht="30" customHeight="1">
      <x:c r="A34" s="11" t="n">
        <x:f>RANK.EQ(G34,$G$2:$G$334,0)</x:f>
        <x:v>33</x:v>
      </x:c>
      <x:c r="B34" s="7" t="str">
        <x:v>BJ-001</x:v>
      </x:c>
      <x:c r="C34" s="7" t="str">
        <x:v>BJ</x:v>
      </x:c>
      <x:c r="D34" s="7" t="str">
        <x:v>A</x:v>
      </x:c>
      <x:c r="E34" s="8" t="str">
        <x:v>胡筝</x:v>
      </x:c>
      <x:c r="F34" s="10" t="str">
        <x:v>北京中学</x:v>
      </x:c>
      <x:c r="G34" s="12" t="n">
        <x:f>SUM(H34:J34)+K34</x:f>
        <x:v>597</x:v>
      </x:c>
      <x:c r="H34" s="12" t="n">
        <x:v>100</x:v>
      </x:c>
      <x:c r="I34" s="12" t="n">
        <x:v>288</x:v>
      </x:c>
      <x:c r="J34" s="12" t="n">
        <x:v>204</x:v>
      </x:c>
      <x:c r="K34" s="12" t="n">
        <x:f>IF(D34="A",5,0)</x:f>
        <x:v>5</x:v>
      </x:c>
    </x:row>
    <x:row r="35" ht="30" customHeight="1">
      <x:c r="A35" s="11" t="n">
        <x:f>RANK.EQ(G35,$G$2:$G$334,0)</x:f>
        <x:v>33</x:v>
      </x:c>
      <x:c r="B35" s="7" t="str">
        <x:v>JS-006</x:v>
      </x:c>
      <x:c r="C35" s="7" t="str">
        <x:v>JS</x:v>
      </x:c>
      <x:c r="D35" s="7" t="str">
        <x:v>B</x:v>
      </x:c>
      <x:c r="E35" s="8" t="str">
        <x:v>郑乐章</x:v>
      </x:c>
      <x:c r="F35" s="10" t="str">
        <x:v>江苏省苏州中学校</x:v>
      </x:c>
      <x:c r="G35" s="12" t="n">
        <x:f>SUM(H35:J35)+K35</x:f>
        <x:v>597</x:v>
      </x:c>
      <x:c r="H35" s="12" t="n">
        <x:v>100</x:v>
      </x:c>
      <x:c r="I35" s="12" t="n">
        <x:v>289</x:v>
      </x:c>
      <x:c r="J35" s="12" t="n">
        <x:v>208</x:v>
      </x:c>
      <x:c r="K35" s="12" t="n">
        <x:f>IF(D35="A",5,0)</x:f>
        <x:v>0</x:v>
      </x:c>
    </x:row>
    <x:row r="36" ht="30" customHeight="1">
      <x:c r="A36" s="11" t="n">
        <x:f>RANK.EQ(G36,$G$2:$G$334,0)</x:f>
        <x:v>35</x:v>
      </x:c>
      <x:c r="B36" s="7" t="str">
        <x:v>SH-008</x:v>
      </x:c>
      <x:c r="C36" s="7" t="str">
        <x:v>SH</x:v>
      </x:c>
      <x:c r="D36" s="7" t="str">
        <x:v>B</x:v>
      </x:c>
      <x:c r="E36" s="8" t="str">
        <x:v>吴思成</x:v>
      </x:c>
      <x:c r="F36" s="10" t="str">
        <x:v>上海外国语大学附属外国语学校</x:v>
      </x:c>
      <x:c r="G36" s="12" t="n">
        <x:f>SUM(H36:J36)+K36</x:f>
        <x:v>596</x:v>
      </x:c>
      <x:c r="H36" s="12" t="n">
        <x:v>100</x:v>
      </x:c>
      <x:c r="I36" s="12" t="n">
        <x:v>272</x:v>
      </x:c>
      <x:c r="J36" s="12" t="n">
        <x:v>224</x:v>
      </x:c>
      <x:c r="K36" s="12" t="n">
        <x:f>IF(D36="A",5,0)</x:f>
        <x:v>0</x:v>
      </x:c>
    </x:row>
    <x:row r="37" ht="30" customHeight="1">
      <x:c r="A37" s="11" t="n">
        <x:f>RANK.EQ(G37,$G$2:$G$334,0)</x:f>
        <x:v>36</x:v>
      </x:c>
      <x:c r="B37" s="7" t="str">
        <x:v>SH-003</x:v>
      </x:c>
      <x:c r="C37" s="7" t="str">
        <x:v>SH</x:v>
      </x:c>
      <x:c r="D37" s="7" t="str">
        <x:v>A</x:v>
      </x:c>
      <x:c r="E37" s="8" t="str">
        <x:v>王翊临</x:v>
      </x:c>
      <x:c r="F37" s="10" t="str">
        <x:v>上海市曹杨第二中学</x:v>
      </x:c>
      <x:c r="G37" s="12" t="n">
        <x:f>SUM(H37:J37)+K37</x:f>
        <x:v>589</x:v>
      </x:c>
      <x:c r="H37" s="12" t="n">
        <x:v>100</x:v>
      </x:c>
      <x:c r="I37" s="12" t="n">
        <x:v>244</x:v>
      </x:c>
      <x:c r="J37" s="12" t="n">
        <x:v>240</x:v>
      </x:c>
      <x:c r="K37" s="12" t="n">
        <x:f>IF(D37="A",5,0)</x:f>
        <x:v>5</x:v>
      </x:c>
    </x:row>
    <x:row r="38" ht="30" customHeight="1">
      <x:c r="A38" s="11" t="n">
        <x:f>RANK.EQ(G38,$G$2:$G$334,0)</x:f>
        <x:v>37</x:v>
      </x:c>
      <x:c r="B38" s="7" t="str">
        <x:v>ZJ-011</x:v>
      </x:c>
      <x:c r="C38" s="7" t="str">
        <x:v>ZJ</x:v>
      </x:c>
      <x:c r="D38" s="7" t="str">
        <x:v>B</x:v>
      </x:c>
      <x:c r="E38" s="8" t="str">
        <x:v>刘梓逸</x:v>
      </x:c>
      <x:c r="F38" s="10" t="str">
        <x:v>宁波市镇海中学</x:v>
      </x:c>
      <x:c r="G38" s="12" t="n">
        <x:f>SUM(H38:J38)+K38</x:f>
        <x:v>588</x:v>
      </x:c>
      <x:c r="H38" s="12" t="n">
        <x:v>100</x:v>
      </x:c>
      <x:c r="I38" s="12" t="n">
        <x:v>276</x:v>
      </x:c>
      <x:c r="J38" s="12" t="n">
        <x:v>212</x:v>
      </x:c>
      <x:c r="K38" s="12" t="n">
        <x:f>IF(D38="A",5,0)</x:f>
        <x:v>0</x:v>
      </x:c>
    </x:row>
    <x:row r="39" ht="30" customHeight="1">
      <x:c r="A39" s="11" t="n">
        <x:f>RANK.EQ(G39,$G$2:$G$334,0)</x:f>
        <x:v>38</x:v>
      </x:c>
      <x:c r="B39" s="7" t="str">
        <x:v>BJ-019</x:v>
      </x:c>
      <x:c r="C39" s="7" t="str">
        <x:v>BJ</x:v>
      </x:c>
      <x:c r="D39" s="7" t="str">
        <x:v>B</x:v>
      </x:c>
      <x:c r="E39" s="8" t="str">
        <x:v>邵敏楷</x:v>
      </x:c>
      <x:c r="F39" s="10" t="str">
        <x:v>中国人民大学附属中学</x:v>
      </x:c>
      <x:c r="G39" s="12" t="n">
        <x:f>SUM(H39:J39)+K39</x:f>
        <x:v>583</x:v>
      </x:c>
      <x:c r="H39" s="12" t="n">
        <x:v>100</x:v>
      </x:c>
      <x:c r="I39" s="12" t="n">
        <x:v>279</x:v>
      </x:c>
      <x:c r="J39" s="12" t="n">
        <x:v>204</x:v>
      </x:c>
      <x:c r="K39" s="12" t="n">
        <x:f>IF(D39="A",5,0)</x:f>
        <x:v>0</x:v>
      </x:c>
    </x:row>
    <x:row r="40" ht="30" customHeight="1">
      <x:c r="A40" s="11" t="n">
        <x:f>RANK.EQ(G40,$G$2:$G$334,0)</x:f>
        <x:v>39</x:v>
      </x:c>
      <x:c r="B40" s="7" t="str">
        <x:v>AH-007</x:v>
      </x:c>
      <x:c r="C40" s="7" t="str">
        <x:v>AH</x:v>
      </x:c>
      <x:c r="D40" s="7" t="str">
        <x:v>B</x:v>
      </x:c>
      <x:c r="E40" s="8" t="str">
        <x:v>赵旭初</x:v>
      </x:c>
      <x:c r="F40" s="10" t="str">
        <x:v>安徽师范大学附属中学</x:v>
      </x:c>
      <x:c r="G40" s="12" t="n">
        <x:f>SUM(H40:J40)+K40</x:f>
        <x:v>582</x:v>
      </x:c>
      <x:c r="H40" s="12" t="n">
        <x:v>100</x:v>
      </x:c>
      <x:c r="I40" s="12" t="n">
        <x:v>247</x:v>
      </x:c>
      <x:c r="J40" s="12" t="n">
        <x:v>235</x:v>
      </x:c>
      <x:c r="K40" s="12" t="n">
        <x:f>IF(D40="A",5,0)</x:f>
        <x:v>0</x:v>
      </x:c>
    </x:row>
    <x:row r="41" ht="30" customHeight="1">
      <x:c r="A41" s="11" t="n">
        <x:f>RANK.EQ(G41,$G$2:$G$334,0)</x:f>
        <x:v>40</x:v>
      </x:c>
      <x:c r="B41" s="7" t="str">
        <x:v>FJ-008</x:v>
      </x:c>
      <x:c r="C41" s="7" t="str">
        <x:v>FJ</x:v>
      </x:c>
      <x:c r="D41" s="7" t="str">
        <x:v>B</x:v>
      </x:c>
      <x:c r="E41" s="8" t="str">
        <x:v>李悠然</x:v>
      </x:c>
      <x:c r="F41" s="10" t="str">
        <x:v>福建省厦门双十中学</x:v>
      </x:c>
      <x:c r="G41" s="12" t="n">
        <x:f>SUM(H41:J41)+K41</x:f>
        <x:v>581</x:v>
      </x:c>
      <x:c r="H41" s="12" t="n">
        <x:v>100</x:v>
      </x:c>
      <x:c r="I41" s="12" t="n">
        <x:v>273</x:v>
      </x:c>
      <x:c r="J41" s="12" t="n">
        <x:v>208</x:v>
      </x:c>
      <x:c r="K41" s="12" t="n">
        <x:f>IF(D41="A",5,0)</x:f>
        <x:v>0</x:v>
      </x:c>
    </x:row>
    <x:row r="42" ht="30" customHeight="1">
      <x:c r="A42" s="11" t="n">
        <x:f>RANK.EQ(G42,$G$2:$G$334,0)</x:f>
        <x:v>41</x:v>
      </x:c>
      <x:c r="B42" s="7" t="str">
        <x:v>BJ-010</x:v>
      </x:c>
      <x:c r="C42" s="7" t="str">
        <x:v>BJ</x:v>
      </x:c>
      <x:c r="D42" s="7" t="str">
        <x:v>B</x:v>
      </x:c>
      <x:c r="E42" s="8" t="str">
        <x:v>许远正</x:v>
      </x:c>
      <x:c r="F42" s="10" t="str">
        <x:v>北京大学附属中学</x:v>
      </x:c>
      <x:c r="G42" s="12" t="n">
        <x:f>SUM(H42:J42)+K42</x:f>
        <x:v>579</x:v>
      </x:c>
      <x:c r="H42" s="12" t="n">
        <x:v>100</x:v>
      </x:c>
      <x:c r="I42" s="12" t="n">
        <x:v>295</x:v>
      </x:c>
      <x:c r="J42" s="12" t="n">
        <x:v>184</x:v>
      </x:c>
      <x:c r="K42" s="12" t="n">
        <x:f>IF(D42="A",5,0)</x:f>
        <x:v>0</x:v>
      </x:c>
    </x:row>
    <x:row r="43" ht="30" customHeight="1">
      <x:c r="A43" s="11" t="n">
        <x:f>RANK.EQ(G43,$G$2:$G$334,0)</x:f>
        <x:v>42</x:v>
      </x:c>
      <x:c r="B43" s="7" t="str">
        <x:v>SC-003</x:v>
      </x:c>
      <x:c r="C43" s="7" t="str">
        <x:v>SC</x:v>
      </x:c>
      <x:c r="D43" s="7" t="str">
        <x:v>A</x:v>
      </x:c>
      <x:c r="E43" s="8" t="str">
        <x:v>王一杭</x:v>
      </x:c>
      <x:c r="F43" s="10" t="str">
        <x:v>成都东部新区第七中学校（成都七中东部学校）</x:v>
      </x:c>
      <x:c r="G43" s="12" t="n">
        <x:f>SUM(H43:J43)+K43</x:f>
        <x:v>578</x:v>
      </x:c>
      <x:c r="H43" s="12" t="n">
        <x:v>100</x:v>
      </x:c>
      <x:c r="I43" s="12" t="n">
        <x:v>273</x:v>
      </x:c>
      <x:c r="J43" s="12" t="n">
        <x:v>200</x:v>
      </x:c>
      <x:c r="K43" s="12" t="n">
        <x:f>IF(D43="A",5,0)</x:f>
        <x:v>5</x:v>
      </x:c>
    </x:row>
    <x:row r="44" ht="30" customHeight="1">
      <x:c r="A44" s="11" t="n">
        <x:f>RANK.EQ(G44,$G$2:$G$334,0)</x:f>
        <x:v>43</x:v>
      </x:c>
      <x:c r="B44" s="7" t="str">
        <x:v>JS-005</x:v>
      </x:c>
      <x:c r="C44" s="7" t="str">
        <x:v>JS</x:v>
      </x:c>
      <x:c r="D44" s="7" t="str">
        <x:v>A</x:v>
      </x:c>
      <x:c r="E44" s="8" t="str">
        <x:v>高近仁</x:v>
      </x:c>
      <x:c r="F44" s="10" t="str">
        <x:v>南京外国语学校</x:v>
      </x:c>
      <x:c r="G44" s="12" t="n">
        <x:f>SUM(H44:J44)+K44</x:f>
        <x:v>575</x:v>
      </x:c>
      <x:c r="H44" s="12" t="n">
        <x:v>100</x:v>
      </x:c>
      <x:c r="I44" s="12" t="n">
        <x:v>250</x:v>
      </x:c>
      <x:c r="J44" s="12" t="n">
        <x:v>220</x:v>
      </x:c>
      <x:c r="K44" s="12" t="n">
        <x:f>IF(D44="A",5,0)</x:f>
        <x:v>5</x:v>
      </x:c>
    </x:row>
    <x:row r="45" ht="30" customHeight="1">
      <x:c r="A45" s="11" t="n">
        <x:f>RANK.EQ(G45,$G$2:$G$334,0)</x:f>
        <x:v>44</x:v>
      </x:c>
      <x:c r="B45" s="7" t="str">
        <x:v>JS-012</x:v>
      </x:c>
      <x:c r="C45" s="7" t="str">
        <x:v>JS</x:v>
      </x:c>
      <x:c r="D45" s="7" t="str">
        <x:v>B</x:v>
      </x:c>
      <x:c r="E45" s="8" t="str">
        <x:v>施泽徐</x:v>
      </x:c>
      <x:c r="F45" s="10" t="str">
        <x:v>南京外国语学校</x:v>
      </x:c>
      <x:c r="G45" s="12" t="n">
        <x:f>SUM(H45:J45)+K45</x:f>
        <x:v>574</x:v>
      </x:c>
      <x:c r="H45" s="12" t="n">
        <x:v>100</x:v>
      </x:c>
      <x:c r="I45" s="12" t="n">
        <x:v>246</x:v>
      </x:c>
      <x:c r="J45" s="12" t="n">
        <x:v>228</x:v>
      </x:c>
      <x:c r="K45" s="12" t="n">
        <x:f>IF(D45="A",5,0)</x:f>
        <x:v>0</x:v>
      </x:c>
    </x:row>
    <x:row r="46" ht="30" customHeight="1">
      <x:c r="A46" s="11" t="n">
        <x:f>RANK.EQ(G46,$G$2:$G$334,0)</x:f>
        <x:v>45</x:v>
      </x:c>
      <x:c r="B46" s="7" t="str">
        <x:v>HN-004</x:v>
      </x:c>
      <x:c r="C46" s="7" t="str">
        <x:v>HN</x:v>
      </x:c>
      <x:c r="D46" s="7" t="str">
        <x:v>A</x:v>
      </x:c>
      <x:c r="E46" s="8" t="str">
        <x:v>张丹诚</x:v>
      </x:c>
      <x:c r="F46" s="10" t="str">
        <x:v>长沙市长郡中学</x:v>
      </x:c>
      <x:c r="G46" s="12" t="n">
        <x:f>SUM(H46:J46)+K46</x:f>
        <x:v>572</x:v>
      </x:c>
      <x:c r="H46" s="12" t="n">
        <x:v>100</x:v>
      </x:c>
      <x:c r="I46" s="12" t="n">
        <x:v>271</x:v>
      </x:c>
      <x:c r="J46" s="12" t="n">
        <x:v>196</x:v>
      </x:c>
      <x:c r="K46" s="12" t="n">
        <x:f>IF(D46="A",5,0)</x:f>
        <x:v>5</x:v>
      </x:c>
    </x:row>
    <x:row r="47" ht="30" customHeight="1">
      <x:c r="A47" s="11" t="n">
        <x:f>RANK.EQ(G47,$G$2:$G$334,0)</x:f>
        <x:v>46</x:v>
      </x:c>
      <x:c r="B47" s="7" t="str">
        <x:v>CQ-004</x:v>
      </x:c>
      <x:c r="C47" s="7" t="str">
        <x:v>CQ</x:v>
      </x:c>
      <x:c r="D47" s="7" t="str">
        <x:v>A</x:v>
      </x:c>
      <x:c r="E47" s="8" t="str">
        <x:v>李知检</x:v>
      </x:c>
      <x:c r="F47" s="10" t="str">
        <x:v>重庆市巴蜀中学校</x:v>
      </x:c>
      <x:c r="G47" s="12" t="n">
        <x:f>SUM(H47:J47)+K47</x:f>
        <x:v>570</x:v>
      </x:c>
      <x:c r="H47" s="12" t="n">
        <x:v>100</x:v>
      </x:c>
      <x:c r="I47" s="12" t="n">
        <x:v>281</x:v>
      </x:c>
      <x:c r="J47" s="12" t="n">
        <x:v>184</x:v>
      </x:c>
      <x:c r="K47" s="12" t="n">
        <x:f>IF(D47="A",5,0)</x:f>
        <x:v>5</x:v>
      </x:c>
    </x:row>
    <x:row r="48" ht="30" customHeight="1">
      <x:c r="A48" s="11" t="n">
        <x:f>RANK.EQ(G48,$G$2:$G$334,0)</x:f>
        <x:v>47</x:v>
      </x:c>
      <x:c r="B48" s="7" t="str">
        <x:v>ZJ-013</x:v>
      </x:c>
      <x:c r="C48" s="7" t="str">
        <x:v>ZJ</x:v>
      </x:c>
      <x:c r="D48" s="7" t="str">
        <x:v>B</x:v>
      </x:c>
      <x:c r="E48" s="8" t="str">
        <x:v>沈易楠</x:v>
      </x:c>
      <x:c r="F48" s="10" t="str">
        <x:v>浙江省萧山中学</x:v>
      </x:c>
      <x:c r="G48" s="12" t="n">
        <x:f>SUM(H48:J48)+K48</x:f>
        <x:v>566</x:v>
      </x:c>
      <x:c r="H48" s="12" t="n">
        <x:v>100</x:v>
      </x:c>
      <x:c r="I48" s="12" t="n">
        <x:v>294</x:v>
      </x:c>
      <x:c r="J48" s="12" t="n">
        <x:v>172</x:v>
      </x:c>
      <x:c r="K48" s="12" t="n">
        <x:f>IF(D48="A",5,0)</x:f>
        <x:v>0</x:v>
      </x:c>
    </x:row>
    <x:row r="49" ht="30" customHeight="1">
      <x:c r="A49" s="11" t="n">
        <x:f>RANK.EQ(G49,$G$2:$G$334,0)</x:f>
        <x:v>48</x:v>
      </x:c>
      <x:c r="B49" s="7" t="str">
        <x:v>GD-016</x:v>
      </x:c>
      <x:c r="C49" s="7" t="str">
        <x:v>GD</x:v>
      </x:c>
      <x:c r="D49" s="7" t="str">
        <x:v>B</x:v>
      </x:c>
      <x:c r="E49" s="8" t="str">
        <x:v>练思远</x:v>
      </x:c>
      <x:c r="F49" s="10" t="str">
        <x:v>广州市第六中学</x:v>
      </x:c>
      <x:c r="G49" s="12" t="n">
        <x:f>SUM(H49:J49)+K49</x:f>
        <x:v>565</x:v>
      </x:c>
      <x:c r="H49" s="12" t="n">
        <x:v>100</x:v>
      </x:c>
      <x:c r="I49" s="12" t="n">
        <x:v>257</x:v>
      </x:c>
      <x:c r="J49" s="12" t="n">
        <x:v>208</x:v>
      </x:c>
      <x:c r="K49" s="12" t="n">
        <x:f>IF(D49="A",5,0)</x:f>
        <x:v>0</x:v>
      </x:c>
    </x:row>
    <x:row r="50" ht="30" customHeight="1">
      <x:c r="A50" s="11" t="n">
        <x:f>RANK.EQ(G50,$G$2:$G$334,0)</x:f>
        <x:v>49</x:v>
      </x:c>
      <x:c r="B50" s="7" t="str">
        <x:v>GD-008</x:v>
      </x:c>
      <x:c r="C50" s="7" t="str">
        <x:v>GD</x:v>
      </x:c>
      <x:c r="D50" s="7" t="str">
        <x:v>B</x:v>
      </x:c>
      <x:c r="E50" s="8" t="str">
        <x:v>李昱嘉</x:v>
      </x:c>
      <x:c r="F50" s="10" t="str">
        <x:v>广东实验中学</x:v>
      </x:c>
      <x:c r="G50" s="12" t="n">
        <x:f>SUM(H50:J50)+K50</x:f>
        <x:v>563</x:v>
      </x:c>
      <x:c r="H50" s="12" t="n">
        <x:v>100</x:v>
      </x:c>
      <x:c r="I50" s="12" t="n">
        <x:v>255</x:v>
      </x:c>
      <x:c r="J50" s="12" t="n">
        <x:v>208</x:v>
      </x:c>
      <x:c r="K50" s="12" t="n">
        <x:f>IF(D50="A",5,0)</x:f>
        <x:v>0</x:v>
      </x:c>
    </x:row>
    <x:row r="51" ht="30" customHeight="1">
      <x:c r="A51" s="11" t="n">
        <x:f>RANK.EQ(G51,$G$2:$G$334,0)</x:f>
        <x:v>50</x:v>
      </x:c>
      <x:c r="B51" s="7" t="str">
        <x:v>SD-009</x:v>
      </x:c>
      <x:c r="C51" s="7" t="str">
        <x:v>SD</x:v>
      </x:c>
      <x:c r="D51" s="7" t="str">
        <x:v>B</x:v>
      </x:c>
      <x:c r="E51" s="8" t="str">
        <x:v>李佳蔚</x:v>
      </x:c>
      <x:c r="F51" s="10" t="str">
        <x:v>东营市胜利第一中学</x:v>
      </x:c>
      <x:c r="G51" s="12" t="n">
        <x:f>SUM(H51:J51)+K51</x:f>
        <x:v>560</x:v>
      </x:c>
      <x:c r="H51" s="12" t="n">
        <x:v>100</x:v>
      </x:c>
      <x:c r="I51" s="12" t="n">
        <x:v>264</x:v>
      </x:c>
      <x:c r="J51" s="12" t="n">
        <x:v>196</x:v>
      </x:c>
      <x:c r="K51" s="12" t="n">
        <x:f>IF(D51="A",5,0)</x:f>
        <x:v>0</x:v>
      </x:c>
    </x:row>
    <x:row r="52" ht="30" customHeight="1">
      <x:c r="A52" s="11" t="n">
        <x:f>RANK.EQ(G52,$G$2:$G$334,0)</x:f>
        <x:v>50</x:v>
      </x:c>
      <x:c r="B52" s="7" t="str">
        <x:v>SH-012</x:v>
      </x:c>
      <x:c r="C52" s="7" t="str">
        <x:v>SH</x:v>
      </x:c>
      <x:c r="D52" s="7" t="str">
        <x:v>B</x:v>
      </x:c>
      <x:c r="E52" s="8" t="str">
        <x:v>沈熙晨</x:v>
      </x:c>
      <x:c r="F52" s="10" t="str">
        <x:v>复旦大学附属中学徐汇分校</x:v>
      </x:c>
      <x:c r="G52" s="12" t="n">
        <x:f>SUM(H52:J52)+K52</x:f>
        <x:v>560</x:v>
      </x:c>
      <x:c r="H52" s="12" t="n">
        <x:v>100</x:v>
      </x:c>
      <x:c r="I52" s="12" t="n">
        <x:v>260</x:v>
      </x:c>
      <x:c r="J52" s="12" t="n">
        <x:v>200</x:v>
      </x:c>
      <x:c r="K52" s="12" t="n">
        <x:f>IF(D52="A",5,0)</x:f>
        <x:v>0</x:v>
      </x:c>
    </x:row>
    <x:row r="53" ht="30" customHeight="1">
      <x:c r="A53" s="11" t="n">
        <x:f>RANK.EQ(G53,$G$2:$G$334,0)</x:f>
        <x:v>52</x:v>
      </x:c>
      <x:c r="B53" s="7" t="str">
        <x:v>HB-004</x:v>
      </x:c>
      <x:c r="C53" s="7" t="str">
        <x:v>HB</x:v>
      </x:c>
      <x:c r="D53" s="7" t="str">
        <x:v>A</x:v>
      </x:c>
      <x:c r="E53" s="8" t="str">
        <x:v>刘珈逸</x:v>
      </x:c>
      <x:c r="F53" s="10" t="str">
        <x:v>武汉新城实验高级中学</x:v>
      </x:c>
      <x:c r="G53" s="12" t="n">
        <x:f>SUM(H53:J53)+K53</x:f>
        <x:v>558</x:v>
      </x:c>
      <x:c r="H53" s="12" t="n">
        <x:v>100</x:v>
      </x:c>
      <x:c r="I53" s="12" t="n">
        <x:v>225</x:v>
      </x:c>
      <x:c r="J53" s="12" t="n">
        <x:v>228</x:v>
      </x:c>
      <x:c r="K53" s="12" t="n">
        <x:f>IF(D53="A",5,0)</x:f>
        <x:v>5</x:v>
      </x:c>
    </x:row>
    <x:row r="54" ht="30" customHeight="1">
      <x:c r="A54" s="11" t="n">
        <x:f>RANK.EQ(G54,$G$2:$G$334,0)</x:f>
        <x:v>53</x:v>
      </x:c>
      <x:c r="B54" s="7" t="str">
        <x:v>HK-001</x:v>
      </x:c>
      <x:c r="C54" s="7" t="str">
        <x:v>HK</x:v>
      </x:c>
      <x:c r="D54" s="7" t="str">
        <x:v>A</x:v>
      </x:c>
      <x:c r="E54" s="8" t="str">
        <x:v>許峻齊</x:v>
      </x:c>
      <x:c r="F54" s="10" t="str">
        <x:v>九龍華仁書院</x:v>
      </x:c>
      <x:c r="G54" s="12" t="n">
        <x:f>SUM(H54:J54)+K54</x:f>
        <x:v>557</x:v>
      </x:c>
      <x:c r="H54" s="12" t="n">
        <x:v>99</x:v>
      </x:c>
      <x:c r="I54" s="12" t="n">
        <x:v>253</x:v>
      </x:c>
      <x:c r="J54" s="12" t="n">
        <x:v>200</x:v>
      </x:c>
      <x:c r="K54" s="12" t="n">
        <x:f>IF(D54="A",5,0)</x:f>
        <x:v>5</x:v>
      </x:c>
    </x:row>
    <x:row r="55" ht="30" customHeight="1">
      <x:c r="A55" s="11" t="n">
        <x:f>RANK.EQ(G55,$G$2:$G$334,0)</x:f>
        <x:v>53</x:v>
      </x:c>
      <x:c r="B55" s="7" t="str">
        <x:v>ZJ-001</x:v>
      </x:c>
      <x:c r="C55" s="7" t="str">
        <x:v>ZJ</x:v>
      </x:c>
      <x:c r="D55" s="7" t="str">
        <x:v>A</x:v>
      </x:c>
      <x:c r="E55" s="8" t="str">
        <x:v>陈奕帆</x:v>
      </x:c>
      <x:c r="F55" s="10" t="str">
        <x:v>绍兴市第一中学</x:v>
      </x:c>
      <x:c r="G55" s="12" t="n">
        <x:f>SUM(H55:J55)+K55</x:f>
        <x:v>557</x:v>
      </x:c>
      <x:c r="H55" s="12" t="n">
        <x:v>100</x:v>
      </x:c>
      <x:c r="I55" s="12" t="n">
        <x:v>228</x:v>
      </x:c>
      <x:c r="J55" s="12" t="n">
        <x:v>224</x:v>
      </x:c>
      <x:c r="K55" s="12" t="n">
        <x:f>IF(D55="A",5,0)</x:f>
        <x:v>5</x:v>
      </x:c>
    </x:row>
    <x:row r="56" ht="30" customHeight="1">
      <x:c r="A56" s="11" t="n">
        <x:f>RANK.EQ(G56,$G$2:$G$334,0)</x:f>
        <x:v>55</x:v>
      </x:c>
      <x:c r="B56" s="7" t="str">
        <x:v>BJ-015</x:v>
      </x:c>
      <x:c r="C56" s="7" t="str">
        <x:v>BJ</x:v>
      </x:c>
      <x:c r="D56" s="7" t="str">
        <x:v>B</x:v>
      </x:c>
      <x:c r="E56" s="8" t="str">
        <x:v>贾鹏博</x:v>
      </x:c>
      <x:c r="F56" s="10" t="str">
        <x:v>北京亦庄实验中学</x:v>
      </x:c>
      <x:c r="G56" s="12" t="n">
        <x:f>SUM(H56:J56)+K56</x:f>
        <x:v>556</x:v>
      </x:c>
      <x:c r="H56" s="12" t="n">
        <x:v>100</x:v>
      </x:c>
      <x:c r="I56" s="12" t="n">
        <x:v>244</x:v>
      </x:c>
      <x:c r="J56" s="12" t="n">
        <x:v>212</x:v>
      </x:c>
      <x:c r="K56" s="12" t="n">
        <x:f>IF(D56="A",5,0)</x:f>
        <x:v>0</x:v>
      </x:c>
    </x:row>
    <x:row r="57" ht="30" customHeight="1">
      <x:c r="A57" s="11" t="n">
        <x:f>RANK.EQ(G57,$G$2:$G$334,0)</x:f>
        <x:v>55</x:v>
      </x:c>
      <x:c r="B57" s="7" t="str">
        <x:v>SH-015</x:v>
      </x:c>
      <x:c r="C57" s="7" t="str">
        <x:v>SH</x:v>
      </x:c>
      <x:c r="D57" s="7" t="str">
        <x:v>C</x:v>
      </x:c>
      <x:c r="E57" s="8" t="str">
        <x:v>程乐平</x:v>
      </x:c>
      <x:c r="F57" s="10" t="str">
        <x:v>华东师范大学第二附属中学</x:v>
      </x:c>
      <x:c r="G57" s="12" t="n">
        <x:f>SUM(H57:J57)+K57</x:f>
        <x:v>556</x:v>
      </x:c>
      <x:c r="H57" s="12" t="n">
        <x:v>100</x:v>
      </x:c>
      <x:c r="I57" s="12" t="n">
        <x:v>256</x:v>
      </x:c>
      <x:c r="J57" s="12" t="n">
        <x:v>200</x:v>
      </x:c>
      <x:c r="K57" s="12" t="n">
        <x:f>IF(D57="A",5,0)</x:f>
        <x:v>0</x:v>
      </x:c>
    </x:row>
    <x:row r="58" ht="30" customHeight="1">
      <x:c r="A58" s="11" t="n">
        <x:f>RANK.EQ(G58,$G$2:$G$334,0)</x:f>
        <x:v>57</x:v>
      </x:c>
      <x:c r="B58" s="7" t="str">
        <x:v>GD-017</x:v>
      </x:c>
      <x:c r="C58" s="7" t="str">
        <x:v>GD</x:v>
      </x:c>
      <x:c r="D58" s="7" t="str">
        <x:v>B</x:v>
      </x:c>
      <x:c r="E58" s="8" t="str">
        <x:v>李子优</x:v>
      </x:c>
      <x:c r="F58" s="10" t="str">
        <x:v>深圳中学</x:v>
      </x:c>
      <x:c r="G58" s="12" t="n">
        <x:f>SUM(H58:J58)+K58</x:f>
        <x:v>553</x:v>
      </x:c>
      <x:c r="H58" s="12" t="n">
        <x:v>100</x:v>
      </x:c>
      <x:c r="I58" s="12" t="n">
        <x:v>213</x:v>
      </x:c>
      <x:c r="J58" s="12" t="n">
        <x:v>240</x:v>
      </x:c>
      <x:c r="K58" s="12" t="n">
        <x:f>IF(D58="A",5,0)</x:f>
        <x:v>0</x:v>
      </x:c>
    </x:row>
    <x:row r="59" ht="30" customHeight="1">
      <x:c r="A59" s="11" t="n">
        <x:f>RANK.EQ(G59,$G$2:$G$334,0)</x:f>
        <x:v>58</x:v>
      </x:c>
      <x:c r="B59" s="7" t="str">
        <x:v>AH-001</x:v>
      </x:c>
      <x:c r="C59" s="7" t="str">
        <x:v>AH</x:v>
      </x:c>
      <x:c r="D59" s="7" t="str">
        <x:v>A</x:v>
      </x:c>
      <x:c r="E59" s="8" t="str">
        <x:v>黄乐逸</x:v>
      </x:c>
      <x:c r="F59" s="10" t="str">
        <x:v>合肥一六八中学</x:v>
      </x:c>
      <x:c r="G59" s="12" t="n">
        <x:f>SUM(H59:J59)+K59</x:f>
        <x:v>552</x:v>
      </x:c>
      <x:c r="H59" s="12" t="n">
        <x:v>100</x:v>
      </x:c>
      <x:c r="I59" s="12" t="n">
        <x:v>239</x:v>
      </x:c>
      <x:c r="J59" s="12" t="n">
        <x:v>208</x:v>
      </x:c>
      <x:c r="K59" s="12" t="n">
        <x:f>IF(D59="A",5,0)</x:f>
        <x:v>5</x:v>
      </x:c>
    </x:row>
    <x:row r="60" ht="30" customHeight="1">
      <x:c r="A60" s="11" t="n">
        <x:f>RANK.EQ(G60,$G$2:$G$334,0)</x:f>
        <x:v>59</x:v>
      </x:c>
      <x:c r="B60" s="7" t="str">
        <x:v>SH-002</x:v>
      </x:c>
      <x:c r="C60" s="7" t="str">
        <x:v>SH</x:v>
      </x:c>
      <x:c r="D60" s="7" t="str">
        <x:v>A</x:v>
      </x:c>
      <x:c r="E60" s="8" t="str">
        <x:v>李昊宸</x:v>
      </x:c>
      <x:c r="F60" s="10" t="str">
        <x:v>上海外国语大学附属外国语学校</x:v>
      </x:c>
      <x:c r="G60" s="12" t="n">
        <x:f>SUM(H60:J60)+K60</x:f>
        <x:v>551</x:v>
      </x:c>
      <x:c r="H60" s="12" t="n">
        <x:v>100</x:v>
      </x:c>
      <x:c r="I60" s="12" t="n">
        <x:v>223</x:v>
      </x:c>
      <x:c r="J60" s="12" t="n">
        <x:v>223</x:v>
      </x:c>
      <x:c r="K60" s="12" t="n">
        <x:f>IF(D60="A",5,0)</x:f>
        <x:v>5</x:v>
      </x:c>
    </x:row>
    <x:row r="61" ht="30" customHeight="1">
      <x:c r="A61" s="11" t="n">
        <x:f>RANK.EQ(G61,$G$2:$G$334,0)</x:f>
        <x:v>60</x:v>
      </x:c>
      <x:c r="B61" s="7" t="str">
        <x:v>CQ-006</x:v>
      </x:c>
      <x:c r="C61" s="7" t="str">
        <x:v>CQ</x:v>
      </x:c>
      <x:c r="D61" s="7" t="str">
        <x:v>B</x:v>
      </x:c>
      <x:c r="E61" s="8" t="str">
        <x:v>刘恒卓</x:v>
      </x:c>
      <x:c r="F61" s="10" t="str">
        <x:v>西南大学附属中学校</x:v>
      </x:c>
      <x:c r="G61" s="12" t="n">
        <x:f>SUM(H61:J61)+K61</x:f>
        <x:v>548</x:v>
      </x:c>
      <x:c r="H61" s="12" t="n">
        <x:v>100</x:v>
      </x:c>
      <x:c r="I61" s="12" t="n">
        <x:v>216</x:v>
      </x:c>
      <x:c r="J61" s="12" t="n">
        <x:v>232</x:v>
      </x:c>
      <x:c r="K61" s="12" t="n">
        <x:f>IF(D61="A",5,0)</x:f>
        <x:v>0</x:v>
      </x:c>
    </x:row>
    <x:row r="62" ht="30" customHeight="1">
      <x:c r="A62" s="11" t="n">
        <x:f>RANK.EQ(G62,$G$2:$G$334,0)</x:f>
        <x:v>61</x:v>
      </x:c>
      <x:c r="B62" s="7" t="str">
        <x:v>FJ-001</x:v>
      </x:c>
      <x:c r="C62" s="7" t="str">
        <x:v>FJ</x:v>
      </x:c>
      <x:c r="D62" s="7" t="str">
        <x:v>A</x:v>
      </x:c>
      <x:c r="E62" s="8" t="str">
        <x:v>林祺昊</x:v>
      </x:c>
      <x:c r="F62" s="10" t="str">
        <x:v>福建师范大学附属中学</x:v>
      </x:c>
      <x:c r="G62" s="12" t="n">
        <x:f>SUM(H62:J62)+K62</x:f>
        <x:v>546</x:v>
      </x:c>
      <x:c r="H62" s="12" t="n">
        <x:v>100</x:v>
      </x:c>
      <x:c r="I62" s="12" t="n">
        <x:v>234</x:v>
      </x:c>
      <x:c r="J62" s="12" t="n">
        <x:v>207</x:v>
      </x:c>
      <x:c r="K62" s="12" t="n">
        <x:f>IF(D62="A",5,0)</x:f>
        <x:v>5</x:v>
      </x:c>
    </x:row>
    <x:row r="63" ht="30" customHeight="1">
      <x:c r="A63" s="11" t="n">
        <x:f>RANK.EQ(G63,$G$2:$G$334,0)</x:f>
        <x:v>62</x:v>
      </x:c>
      <x:c r="B63" s="7" t="str">
        <x:v>GD-012</x:v>
      </x:c>
      <x:c r="C63" s="7" t="str">
        <x:v>GD</x:v>
      </x:c>
      <x:c r="D63" s="7" t="str">
        <x:v>B</x:v>
      </x:c>
      <x:c r="E63" s="8" t="str">
        <x:v>胡金勇</x:v>
      </x:c>
      <x:c r="F63" s="10" t="str">
        <x:v>中山市中山纪念中学</x:v>
      </x:c>
      <x:c r="G63" s="12" t="n">
        <x:f>SUM(H63:J63)+K63</x:f>
        <x:v>545</x:v>
      </x:c>
      <x:c r="H63" s="12" t="n">
        <x:v>100</x:v>
      </x:c>
      <x:c r="I63" s="12" t="n">
        <x:v>217</x:v>
      </x:c>
      <x:c r="J63" s="12" t="n">
        <x:v>228</x:v>
      </x:c>
      <x:c r="K63" s="12" t="n">
        <x:f>IF(D63="A",5,0)</x:f>
        <x:v>0</x:v>
      </x:c>
    </x:row>
    <x:row r="64" ht="30" customHeight="1">
      <x:c r="A64" s="11" t="n">
        <x:f>RANK.EQ(G64,$G$2:$G$334,0)</x:f>
        <x:v>62</x:v>
      </x:c>
      <x:c r="B64" s="7" t="str">
        <x:v>JS-013</x:v>
      </x:c>
      <x:c r="C64" s="7" t="str">
        <x:v>JS</x:v>
      </x:c>
      <x:c r="D64" s="7" t="str">
        <x:v>B</x:v>
      </x:c>
      <x:c r="E64" s="8" t="str">
        <x:v>程元郢</x:v>
      </x:c>
      <x:c r="F64" s="10" t="str">
        <x:v>南京外国语学校</x:v>
      </x:c>
      <x:c r="G64" s="12" t="n">
        <x:f>SUM(H64:J64)+K64</x:f>
        <x:v>545</x:v>
      </x:c>
      <x:c r="H64" s="12" t="n">
        <x:v>100</x:v>
      </x:c>
      <x:c r="I64" s="12" t="n">
        <x:v>237</x:v>
      </x:c>
      <x:c r="J64" s="12" t="n">
        <x:v>208</x:v>
      </x:c>
      <x:c r="K64" s="12" t="n">
        <x:f>IF(D64="A",5,0)</x:f>
        <x:v>0</x:v>
      </x:c>
    </x:row>
    <x:row r="65" ht="30" customHeight="1">
      <x:c r="A65" s="11" t="n">
        <x:f>RANK.EQ(G65,$G$2:$G$334,0)</x:f>
        <x:v>64</x:v>
      </x:c>
      <x:c r="B65" s="7" t="str">
        <x:v>HE-001</x:v>
      </x:c>
      <x:c r="C65" s="7" t="str">
        <x:v>HE</x:v>
      </x:c>
      <x:c r="D65" s="7" t="str">
        <x:v>A</x:v>
      </x:c>
      <x:c r="E65" s="8" t="str">
        <x:v>崔铎曦</x:v>
      </x:c>
      <x:c r="F65" s="10" t="str">
        <x:v>石家庄市第二中学</x:v>
      </x:c>
      <x:c r="G65" s="12" t="n">
        <x:f>SUM(H65:J65)+K65</x:f>
        <x:v>544</x:v>
      </x:c>
      <x:c r="H65" s="12" t="n">
        <x:v>100</x:v>
      </x:c>
      <x:c r="I65" s="12" t="n">
        <x:v>239</x:v>
      </x:c>
      <x:c r="J65" s="12" t="n">
        <x:v>200</x:v>
      </x:c>
      <x:c r="K65" s="12" t="n">
        <x:f>IF(D65="A",5,0)</x:f>
        <x:v>5</x:v>
      </x:c>
    </x:row>
    <x:row r="66" ht="30" customHeight="1">
      <x:c r="A66" s="11" t="n">
        <x:f>RANK.EQ(G66,$G$2:$G$334,0)</x:f>
        <x:v>64</x:v>
      </x:c>
      <x:c r="B66" s="7" t="str">
        <x:v>LN-004</x:v>
      </x:c>
      <x:c r="C66" s="7" t="str">
        <x:v>LN</x:v>
      </x:c>
      <x:c r="D66" s="7" t="str">
        <x:v>A</x:v>
      </x:c>
      <x:c r="E66" s="8" t="str">
        <x:v>付琦睿</x:v>
      </x:c>
      <x:c r="F66" s="10" t="str">
        <x:v>大连市第二十四中学金普学校</x:v>
      </x:c>
      <x:c r="G66" s="12" t="n">
        <x:f>SUM(H66:J66)+K66</x:f>
        <x:v>544</x:v>
      </x:c>
      <x:c r="H66" s="12" t="n">
        <x:v>100</x:v>
      </x:c>
      <x:c r="I66" s="12" t="n">
        <x:v>231</x:v>
      </x:c>
      <x:c r="J66" s="12" t="n">
        <x:v>208</x:v>
      </x:c>
      <x:c r="K66" s="12" t="n">
        <x:f>IF(D66="A",5,0)</x:f>
        <x:v>5</x:v>
      </x:c>
    </x:row>
    <x:row r="67" ht="30" customHeight="1">
      <x:c r="A67" s="11" t="n">
        <x:f>RANK.EQ(G67,$G$2:$G$334,0)</x:f>
        <x:v>64</x:v>
      </x:c>
      <x:c r="B67" s="7" t="str">
        <x:v>SH-010</x:v>
      </x:c>
      <x:c r="C67" s="7" t="str">
        <x:v>SH</x:v>
      </x:c>
      <x:c r="D67" s="7" t="str">
        <x:v>B</x:v>
      </x:c>
      <x:c r="E67" s="8" t="str">
        <x:v>李烨霖</x:v>
      </x:c>
      <x:c r="F67" s="10" t="str">
        <x:v>上海市曹杨第二中学</x:v>
      </x:c>
      <x:c r="G67" s="12" t="n">
        <x:f>SUM(H67:J67)+K67</x:f>
        <x:v>544</x:v>
      </x:c>
      <x:c r="H67" s="12" t="n">
        <x:v>100</x:v>
      </x:c>
      <x:c r="I67" s="12" t="n">
        <x:v>216</x:v>
      </x:c>
      <x:c r="J67" s="12" t="n">
        <x:v>228</x:v>
      </x:c>
      <x:c r="K67" s="12" t="n">
        <x:f>IF(D67="A",5,0)</x:f>
        <x:v>0</x:v>
      </x:c>
    </x:row>
    <x:row r="68" ht="30" customHeight="1">
      <x:c r="A68" s="11" t="n">
        <x:f>RANK.EQ(G68,$G$2:$G$334,0)</x:f>
        <x:v>64</x:v>
      </x:c>
      <x:c r="B68" s="7" t="str">
        <x:v>ZJ-007</x:v>
      </x:c>
      <x:c r="C68" s="7" t="str">
        <x:v>ZJ</x:v>
      </x:c>
      <x:c r="D68" s="7" t="str">
        <x:v>B</x:v>
      </x:c>
      <x:c r="E68" s="8" t="str">
        <x:v>桂阳熠</x:v>
      </x:c>
      <x:c r="F68" s="10" t="str">
        <x:v>杭州第二中学</x:v>
      </x:c>
      <x:c r="G68" s="12" t="n">
        <x:f>SUM(H68:J68)+K68</x:f>
        <x:v>544</x:v>
      </x:c>
      <x:c r="H68" s="12" t="n">
        <x:v>100</x:v>
      </x:c>
      <x:c r="I68" s="12" t="n">
        <x:v>300</x:v>
      </x:c>
      <x:c r="J68" s="12" t="n">
        <x:v>144</x:v>
      </x:c>
      <x:c r="K68" s="12" t="n">
        <x:f>IF(D68="A",5,0)</x:f>
        <x:v>0</x:v>
      </x:c>
    </x:row>
    <x:row r="69" ht="30" customHeight="1">
      <x:c r="A69" s="11" t="n">
        <x:f>RANK.EQ(G69,$G$2:$G$334,0)</x:f>
        <x:v>68</x:v>
      </x:c>
      <x:c r="B69" s="7" t="str">
        <x:v>SH-013</x:v>
      </x:c>
      <x:c r="C69" s="7" t="str">
        <x:v>SH</x:v>
      </x:c>
      <x:c r="D69" s="7" t="str">
        <x:v>B</x:v>
      </x:c>
      <x:c r="E69" s="8" t="str">
        <x:v>吴金泽</x:v>
      </x:c>
      <x:c r="F69" s="10" t="str">
        <x:v>上海外国语大学附属外国语学校</x:v>
      </x:c>
      <x:c r="G69" s="12" t="n">
        <x:f>SUM(H69:J69)+K69</x:f>
        <x:v>542</x:v>
      </x:c>
      <x:c r="H69" s="12" t="n">
        <x:v>100</x:v>
      </x:c>
      <x:c r="I69" s="12" t="n">
        <x:v>234</x:v>
      </x:c>
      <x:c r="J69" s="12" t="n">
        <x:v>208</x:v>
      </x:c>
      <x:c r="K69" s="12" t="n">
        <x:f>IF(D69="A",5,0)</x:f>
        <x:v>0</x:v>
      </x:c>
    </x:row>
    <x:row r="70" ht="30" customHeight="1">
      <x:c r="A70" s="11" t="n">
        <x:f>RANK.EQ(G70,$G$2:$G$334,0)</x:f>
        <x:v>69</x:v>
      </x:c>
      <x:c r="B70" s="7" t="str">
        <x:v>CQ-003</x:v>
      </x:c>
      <x:c r="C70" s="7" t="str">
        <x:v>CQ</x:v>
      </x:c>
      <x:c r="D70" s="7" t="str">
        <x:v>A</x:v>
      </x:c>
      <x:c r="E70" s="8" t="str">
        <x:v>池昊轩</x:v>
      </x:c>
      <x:c r="F70" s="10" t="str">
        <x:v>重庆市南开中学校</x:v>
      </x:c>
      <x:c r="G70" s="12" t="n">
        <x:f>SUM(H70:J70)+K70</x:f>
        <x:v>541</x:v>
      </x:c>
      <x:c r="H70" s="12" t="n">
        <x:v>100</x:v>
      </x:c>
      <x:c r="I70" s="12" t="n">
        <x:v>244</x:v>
      </x:c>
      <x:c r="J70" s="12" t="n">
        <x:v>192</x:v>
      </x:c>
      <x:c r="K70" s="12" t="n">
        <x:f>IF(D70="A",5,0)</x:f>
        <x:v>5</x:v>
      </x:c>
    </x:row>
    <x:row r="71" ht="30" customHeight="1">
      <x:c r="A71" s="11" t="n">
        <x:f>RANK.EQ(G71,$G$2:$G$334,0)</x:f>
        <x:v>69</x:v>
      </x:c>
      <x:c r="B71" s="7" t="str">
        <x:v>FJ-002</x:v>
      </x:c>
      <x:c r="C71" s="7" t="str">
        <x:v>FJ</x:v>
      </x:c>
      <x:c r="D71" s="7" t="str">
        <x:v>A</x:v>
      </x:c>
      <x:c r="E71" s="8" t="str">
        <x:v>卢华睿</x:v>
      </x:c>
      <x:c r="F71" s="10" t="str">
        <x:v>福建省福州第一中学</x:v>
      </x:c>
      <x:c r="G71" s="12" t="n">
        <x:f>SUM(H71:J71)+K71</x:f>
        <x:v>541</x:v>
      </x:c>
      <x:c r="H71" s="12" t="n">
        <x:v>100</x:v>
      </x:c>
      <x:c r="I71" s="12" t="n">
        <x:v>300</x:v>
      </x:c>
      <x:c r="J71" s="12" t="n">
        <x:v>136</x:v>
      </x:c>
      <x:c r="K71" s="12" t="n">
        <x:f>IF(D71="A",5,0)</x:f>
        <x:v>5</x:v>
      </x:c>
    </x:row>
    <x:row r="72" ht="30" customHeight="1">
      <x:c r="A72" s="11" t="n">
        <x:f>RANK.EQ(G72,$G$2:$G$334,0)</x:f>
        <x:v>71</x:v>
      </x:c>
      <x:c r="B72" s="7" t="str">
        <x:v>BJ-003</x:v>
      </x:c>
      <x:c r="C72" s="7" t="str">
        <x:v>BJ</x:v>
      </x:c>
      <x:c r="D72" s="7" t="str">
        <x:v>A</x:v>
      </x:c>
      <x:c r="E72" s="8" t="str">
        <x:v>彭亦宸</x:v>
      </x:c>
      <x:c r="F72" s="10" t="str">
        <x:v>中国人民大学附属中学</x:v>
      </x:c>
      <x:c r="G72" s="12" t="n">
        <x:f>SUM(H72:J72)+K72</x:f>
        <x:v>537</x:v>
      </x:c>
      <x:c r="H72" s="12" t="n">
        <x:v>100</x:v>
      </x:c>
      <x:c r="I72" s="12" t="n">
        <x:v>224</x:v>
      </x:c>
      <x:c r="J72" s="12" t="n">
        <x:v>208</x:v>
      </x:c>
      <x:c r="K72" s="12" t="n">
        <x:f>IF(D72="A",5,0)</x:f>
        <x:v>5</x:v>
      </x:c>
    </x:row>
    <x:row r="73" ht="30" customHeight="1">
      <x:c r="A73" s="11" t="n">
        <x:f>RANK.EQ(G73,$G$2:$G$334,0)</x:f>
        <x:v>72</x:v>
      </x:c>
      <x:c r="B73" s="7" t="str">
        <x:v>HL-001</x:v>
      </x:c>
      <x:c r="C73" s="7" t="str">
        <x:v>HL</x:v>
      </x:c>
      <x:c r="D73" s="7" t="str">
        <x:v>A</x:v>
      </x:c>
      <x:c r="E73" s="8" t="str">
        <x:v>郭子阳</x:v>
      </x:c>
      <x:c r="F73" s="10" t="str">
        <x:v>哈尔滨德强高级中学</x:v>
      </x:c>
      <x:c r="G73" s="12" t="n">
        <x:f>SUM(H73:J73)+K73</x:f>
        <x:v>536</x:v>
      </x:c>
      <x:c r="H73" s="12" t="n">
        <x:v>100</x:v>
      </x:c>
      <x:c r="I73" s="12" t="n">
        <x:v>223</x:v>
      </x:c>
      <x:c r="J73" s="12" t="n">
        <x:v>208</x:v>
      </x:c>
      <x:c r="K73" s="12" t="n">
        <x:f>IF(D73="A",5,0)</x:f>
        <x:v>5</x:v>
      </x:c>
    </x:row>
    <x:row r="74" ht="30" customHeight="1">
      <x:c r="A74" s="11" t="n">
        <x:f>RANK.EQ(G74,$G$2:$G$334,0)</x:f>
        <x:v>72</x:v>
      </x:c>
      <x:c r="B74" s="7" t="str">
        <x:v>HN-013</x:v>
      </x:c>
      <x:c r="C74" s="7" t="str">
        <x:v>HN</x:v>
      </x:c>
      <x:c r="D74" s="7" t="str">
        <x:v>B</x:v>
      </x:c>
      <x:c r="E74" s="8" t="str">
        <x:v>杨济帆</x:v>
      </x:c>
      <x:c r="F74" s="10" t="str">
        <x:v>湖南省长沙市第一中学</x:v>
      </x:c>
      <x:c r="G74" s="12" t="n">
        <x:f>SUM(H74:J74)+K74</x:f>
        <x:v>536</x:v>
      </x:c>
      <x:c r="H74" s="12" t="n">
        <x:v>100</x:v>
      </x:c>
      <x:c r="I74" s="12" t="n">
        <x:v>232</x:v>
      </x:c>
      <x:c r="J74" s="12" t="n">
        <x:v>204</x:v>
      </x:c>
      <x:c r="K74" s="12" t="n">
        <x:f>IF(D74="A",5,0)</x:f>
        <x:v>0</x:v>
      </x:c>
    </x:row>
    <x:row r="75" ht="30" customHeight="1">
      <x:c r="A75" s="11" t="n">
        <x:f>RANK.EQ(G75,$G$2:$G$334,0)</x:f>
        <x:v>74</x:v>
      </x:c>
      <x:c r="B75" s="7" t="str">
        <x:v>ZJ-002</x:v>
      </x:c>
      <x:c r="C75" s="7" t="str">
        <x:v>ZJ</x:v>
      </x:c>
      <x:c r="D75" s="7" t="str">
        <x:v>A</x:v>
      </x:c>
      <x:c r="E75" s="8" t="str">
        <x:v>汪致远</x:v>
      </x:c>
      <x:c r="F75" s="10" t="str">
        <x:v>浙江金华第一中学</x:v>
      </x:c>
      <x:c r="G75" s="12" t="n">
        <x:f>SUM(H75:J75)+K75</x:f>
        <x:v>535</x:v>
      </x:c>
      <x:c r="H75" s="12" t="n">
        <x:v>99</x:v>
      </x:c>
      <x:c r="I75" s="12" t="n">
        <x:v>247</x:v>
      </x:c>
      <x:c r="J75" s="12" t="n">
        <x:v>184</x:v>
      </x:c>
      <x:c r="K75" s="12" t="n">
        <x:f>IF(D75="A",5,0)</x:f>
        <x:v>5</x:v>
      </x:c>
    </x:row>
    <x:row r="76" ht="30" customHeight="1">
      <x:c r="A76" s="11" t="n">
        <x:f>RANK.EQ(G76,$G$2:$G$334,0)</x:f>
        <x:v>75</x:v>
      </x:c>
      <x:c r="B76" s="7" t="str">
        <x:v>GD-015</x:v>
      </x:c>
      <x:c r="C76" s="7" t="str">
        <x:v>GD</x:v>
      </x:c>
      <x:c r="D76" s="7" t="str">
        <x:v>B</x:v>
      </x:c>
      <x:c r="E76" s="8" t="str">
        <x:v>陈可佳</x:v>
      </x:c>
      <x:c r="F76" s="10" t="str">
        <x:v>广州市铁一中学</x:v>
      </x:c>
      <x:c r="G76" s="12" t="n">
        <x:f>SUM(H76:J76)+K76</x:f>
        <x:v>533</x:v>
      </x:c>
      <x:c r="H76" s="12" t="n">
        <x:v>100</x:v>
      </x:c>
      <x:c r="I76" s="12" t="n">
        <x:v>233</x:v>
      </x:c>
      <x:c r="J76" s="12" t="n">
        <x:v>200</x:v>
      </x:c>
      <x:c r="K76" s="12" t="n">
        <x:f>IF(D76="A",5,0)</x:f>
        <x:v>0</x:v>
      </x:c>
    </x:row>
    <x:row r="77" ht="30" customHeight="1">
      <x:c r="A77" s="11" t="n">
        <x:f>RANK.EQ(G77,$G$2:$G$334,0)</x:f>
        <x:v>76</x:v>
      </x:c>
      <x:c r="B77" s="7" t="str">
        <x:v>FJ-011</x:v>
      </x:c>
      <x:c r="C77" s="7" t="str">
        <x:v>FJ</x:v>
      </x:c>
      <x:c r="D77" s="7" t="str">
        <x:v>B</x:v>
      </x:c>
      <x:c r="E77" s="8" t="str">
        <x:v>陈予喆</x:v>
      </x:c>
      <x:c r="F77" s="10" t="str">
        <x:v>福建省厦门第一中学</x:v>
      </x:c>
      <x:c r="G77" s="12" t="n">
        <x:f>SUM(H77:J77)+K77</x:f>
        <x:v>532</x:v>
      </x:c>
      <x:c r="H77" s="12" t="n">
        <x:v>100</x:v>
      </x:c>
      <x:c r="I77" s="12" t="n">
        <x:v>250</x:v>
      </x:c>
      <x:c r="J77" s="12" t="n">
        <x:v>182</x:v>
      </x:c>
      <x:c r="K77" s="12" t="n">
        <x:f>IF(D77="A",5,0)</x:f>
        <x:v>0</x:v>
      </x:c>
    </x:row>
    <x:row r="78" ht="30" customHeight="1">
      <x:c r="A78" s="11" t="n">
        <x:f>RANK.EQ(G78,$G$2:$G$334,0)</x:f>
        <x:v>76</x:v>
      </x:c>
      <x:c r="B78" s="7" t="str">
        <x:v>GD-019</x:v>
      </x:c>
      <x:c r="C78" s="7" t="str">
        <x:v>GD</x:v>
      </x:c>
      <x:c r="D78" s="7" t="str">
        <x:v>B</x:v>
      </x:c>
      <x:c r="E78" s="8" t="str">
        <x:v>黄豆</x:v>
      </x:c>
      <x:c r="F78" s="10" t="str">
        <x:v>广州大学附属中学</x:v>
      </x:c>
      <x:c r="G78" s="12" t="n">
        <x:f>SUM(H78:J78)+K78</x:f>
        <x:v>532</x:v>
      </x:c>
      <x:c r="H78" s="12" t="n">
        <x:v>100</x:v>
      </x:c>
      <x:c r="I78" s="12" t="n">
        <x:v>284</x:v>
      </x:c>
      <x:c r="J78" s="12" t="n">
        <x:v>148</x:v>
      </x:c>
      <x:c r="K78" s="12" t="n">
        <x:f>IF(D78="A",5,0)</x:f>
        <x:v>0</x:v>
      </x:c>
    </x:row>
    <x:row r="79" ht="30" customHeight="1">
      <x:c r="A79" s="11" t="n">
        <x:f>RANK.EQ(G79,$G$2:$G$334,0)</x:f>
        <x:v>78</x:v>
      </x:c>
      <x:c r="B79" s="7" t="str">
        <x:v>FJ-005</x:v>
      </x:c>
      <x:c r="C79" s="7" t="str">
        <x:v>FJ</x:v>
      </x:c>
      <x:c r="D79" s="7" t="str">
        <x:v>A</x:v>
      </x:c>
      <x:c r="E79" s="8" t="str">
        <x:v>施博涵</x:v>
      </x:c>
      <x:c r="F79" s="10" t="str">
        <x:v>福建省福清第一中学</x:v>
      </x:c>
      <x:c r="G79" s="12" t="n">
        <x:f>SUM(H79:J79)+K79</x:f>
        <x:v>531</x:v>
      </x:c>
      <x:c r="H79" s="12" t="n">
        <x:v>100</x:v>
      </x:c>
      <x:c r="I79" s="12" t="n">
        <x:v>226</x:v>
      </x:c>
      <x:c r="J79" s="12" t="n">
        <x:v>200</x:v>
      </x:c>
      <x:c r="K79" s="12" t="n">
        <x:f>IF(D79="A",5,0)</x:f>
        <x:v>5</x:v>
      </x:c>
    </x:row>
    <x:row r="80" ht="30" customHeight="1">
      <x:c r="A80" s="11" t="n">
        <x:f>RANK.EQ(G80,$G$2:$G$334,0)</x:f>
        <x:v>78</x:v>
      </x:c>
      <x:c r="B80" s="7" t="str">
        <x:v>SD-003</x:v>
      </x:c>
      <x:c r="C80" s="7" t="str">
        <x:v>SD</x:v>
      </x:c>
      <x:c r="D80" s="7" t="str">
        <x:v>A</x:v>
      </x:c>
      <x:c r="E80" s="8" t="str">
        <x:v>崔化博</x:v>
      </x:c>
      <x:c r="F80" s="10" t="str">
        <x:v>山东省潍坊第一中学</x:v>
      </x:c>
      <x:c r="G80" s="12" t="n">
        <x:f>SUM(H80:J80)+K80</x:f>
        <x:v>531</x:v>
      </x:c>
      <x:c r="H80" s="12" t="n">
        <x:v>100</x:v>
      </x:c>
      <x:c r="I80" s="12" t="n">
        <x:v>214</x:v>
      </x:c>
      <x:c r="J80" s="12" t="n">
        <x:v>212</x:v>
      </x:c>
      <x:c r="K80" s="12" t="n">
        <x:f>IF(D80="A",5,0)</x:f>
        <x:v>5</x:v>
      </x:c>
    </x:row>
    <x:row r="81" ht="30" customHeight="1">
      <x:c r="A81" s="11" t="n">
        <x:f>RANK.EQ(G81,$G$2:$G$334,0)</x:f>
        <x:v>80</x:v>
      </x:c>
      <x:c r="B81" s="7" t="str">
        <x:v>JX-001</x:v>
      </x:c>
      <x:c r="C81" s="7" t="str">
        <x:v>JX</x:v>
      </x:c>
      <x:c r="D81" s="7" t="str">
        <x:v>A</x:v>
      </x:c>
      <x:c r="E81" s="8" t="str">
        <x:v>洪泽</x:v>
      </x:c>
      <x:c r="F81" s="10" t="str">
        <x:v>江西科技学院附属中学</x:v>
      </x:c>
      <x:c r="G81" s="12" t="n">
        <x:f>SUM(H81:J81)+K81</x:f>
        <x:v>527</x:v>
      </x:c>
      <x:c r="H81" s="12" t="n">
        <x:v>100</x:v>
      </x:c>
      <x:c r="I81" s="12" t="n">
        <x:v>214</x:v>
      </x:c>
      <x:c r="J81" s="12" t="n">
        <x:v>208</x:v>
      </x:c>
      <x:c r="K81" s="12" t="n">
        <x:f>IF(D81="A",5,0)</x:f>
        <x:v>5</x:v>
      </x:c>
    </x:row>
    <x:row r="82" ht="30" customHeight="1">
      <x:c r="A82" s="11" t="n">
        <x:f>RANK.EQ(G82,$G$2:$G$334,0)</x:f>
        <x:v>81</x:v>
      </x:c>
      <x:c r="B82" s="7" t="str">
        <x:v>HN-005</x:v>
      </x:c>
      <x:c r="C82" s="7" t="str">
        <x:v>HN</x:v>
      </x:c>
      <x:c r="D82" s="7" t="str">
        <x:v>A</x:v>
      </x:c>
      <x:c r="E82" s="8" t="str">
        <x:v>肖开睿</x:v>
      </x:c>
      <x:c r="F82" s="10" t="str">
        <x:v>长沙市雅礼中学</x:v>
      </x:c>
      <x:c r="G82" s="12" t="n">
        <x:f>SUM(H82:J82)+K82</x:f>
        <x:v>526</x:v>
      </x:c>
      <x:c r="H82" s="12" t="n">
        <x:v>100</x:v>
      </x:c>
      <x:c r="I82" s="12" t="n">
        <x:v>209</x:v>
      </x:c>
      <x:c r="J82" s="12" t="n">
        <x:v>212</x:v>
      </x:c>
      <x:c r="K82" s="12" t="n">
        <x:f>IF(D82="A",5,0)</x:f>
        <x:v>5</x:v>
      </x:c>
    </x:row>
    <x:row r="83" ht="30" customHeight="1">
      <x:c r="A83" s="11" t="n">
        <x:f>RANK.EQ(G83,$G$2:$G$334,0)</x:f>
        <x:v>81</x:v>
      </x:c>
      <x:c r="B83" s="7" t="str">
        <x:v>HN-012</x:v>
      </x:c>
      <x:c r="C83" s="7" t="str">
        <x:v>HN</x:v>
      </x:c>
      <x:c r="D83" s="7" t="str">
        <x:v>B</x:v>
      </x:c>
      <x:c r="E83" s="8" t="str">
        <x:v>史振烨</x:v>
      </x:c>
      <x:c r="F83" s="10" t="str">
        <x:v>湖南省长沙市第一中学</x:v>
      </x:c>
      <x:c r="G83" s="12" t="n">
        <x:f>SUM(H83:J83)+K83</x:f>
        <x:v>526</x:v>
      </x:c>
      <x:c r="H83" s="12" t="n">
        <x:v>99</x:v>
      </x:c>
      <x:c r="I83" s="12" t="n">
        <x:v>292</x:v>
      </x:c>
      <x:c r="J83" s="12" t="n">
        <x:v>135</x:v>
      </x:c>
      <x:c r="K83" s="12" t="n">
        <x:f>IF(D83="A",5,0)</x:f>
        <x:v>0</x:v>
      </x:c>
    </x:row>
    <x:row r="84" ht="30" customHeight="1">
      <x:c r="A84" s="11" t="n">
        <x:f>RANK.EQ(G84,$G$2:$G$334,0)</x:f>
        <x:v>83</x:v>
      </x:c>
      <x:c r="B84" s="7" t="str">
        <x:v>HN-002</x:v>
      </x:c>
      <x:c r="C84" s="7" t="str">
        <x:v>HN</x:v>
      </x:c>
      <x:c r="D84" s="7" t="str">
        <x:v>A</x:v>
      </x:c>
      <x:c r="E84" s="8" t="str">
        <x:v>周雨衡</x:v>
      </x:c>
      <x:c r="F84" s="10" t="str">
        <x:v>长沙市长郡中学</x:v>
      </x:c>
      <x:c r="G84" s="12" t="n">
        <x:f>SUM(H84:J84)+K84</x:f>
        <x:v>525</x:v>
      </x:c>
      <x:c r="H84" s="12" t="n">
        <x:v>100</x:v>
      </x:c>
      <x:c r="I84" s="12" t="n">
        <x:v>300</x:v>
      </x:c>
      <x:c r="J84" s="12" t="n">
        <x:v>120</x:v>
      </x:c>
      <x:c r="K84" s="12" t="n">
        <x:f>IF(D84="A",5,0)</x:f>
        <x:v>5</x:v>
      </x:c>
    </x:row>
    <x:row r="85" ht="30" customHeight="1">
      <x:c r="A85" s="11" t="n">
        <x:f>RANK.EQ(G85,$G$2:$G$334,0)</x:f>
        <x:v>84</x:v>
      </x:c>
      <x:c r="B85" s="7" t="str">
        <x:v>BJ-018</x:v>
      </x:c>
      <x:c r="C85" s="7" t="str">
        <x:v>BJ</x:v>
      </x:c>
      <x:c r="D85" s="7" t="str">
        <x:v>B</x:v>
      </x:c>
      <x:c r="E85" s="8" t="str">
        <x:v>郑鸿毅</x:v>
      </x:c>
      <x:c r="F85" s="10" t="str">
        <x:v>中国人民大学附属中学</x:v>
      </x:c>
      <x:c r="G85" s="12" t="n">
        <x:f>SUM(H85:J85)+K85</x:f>
        <x:v>524</x:v>
      </x:c>
      <x:c r="H85" s="12" t="n">
        <x:v>100</x:v>
      </x:c>
      <x:c r="I85" s="12" t="n">
        <x:v>233</x:v>
      </x:c>
      <x:c r="J85" s="12" t="n">
        <x:v>191</x:v>
      </x:c>
      <x:c r="K85" s="12" t="n">
        <x:f>IF(D85="A",5,0)</x:f>
        <x:v>0</x:v>
      </x:c>
    </x:row>
    <x:row r="86" ht="30" customHeight="1">
      <x:c r="A86" s="11" t="n">
        <x:f>RANK.EQ(G86,$G$2:$G$334,0)</x:f>
        <x:v>84</x:v>
      </x:c>
      <x:c r="B86" s="7" t="str">
        <x:v>HB-001</x:v>
      </x:c>
      <x:c r="C86" s="7" t="str">
        <x:v>HB</x:v>
      </x:c>
      <x:c r="D86" s="7" t="str">
        <x:v>A</x:v>
      </x:c>
      <x:c r="E86" s="8" t="str">
        <x:v>伍敬宇</x:v>
      </x:c>
      <x:c r="F86" s="10" t="str">
        <x:v>华中师范大学第一附属中学</x:v>
      </x:c>
      <x:c r="G86" s="12" t="n">
        <x:f>SUM(H86:J86)+K86</x:f>
        <x:v>524</x:v>
      </x:c>
      <x:c r="H86" s="12" t="n">
        <x:v>100</x:v>
      </x:c>
      <x:c r="I86" s="12" t="n">
        <x:v>231</x:v>
      </x:c>
      <x:c r="J86" s="12" t="n">
        <x:v>188</x:v>
      </x:c>
      <x:c r="K86" s="12" t="n">
        <x:f>IF(D86="A",5,0)</x:f>
        <x:v>5</x:v>
      </x:c>
    </x:row>
    <x:row r="87" ht="30" customHeight="1">
      <x:c r="A87" s="11" t="n">
        <x:f>RANK.EQ(G87,$G$2:$G$334,0)</x:f>
        <x:v>86</x:v>
      </x:c>
      <x:c r="B87" s="7" t="str">
        <x:v>GX-003</x:v>
      </x:c>
      <x:c r="C87" s="7" t="str">
        <x:v>GX</x:v>
      </x:c>
      <x:c r="D87" s="7" t="str">
        <x:v>A</x:v>
      </x:c>
      <x:c r="E87" s="8" t="str">
        <x:v>李思睿</x:v>
      </x:c>
      <x:c r="F87" s="10" t="str">
        <x:v>广西师范大学附属外国语学校</x:v>
      </x:c>
      <x:c r="G87" s="12" t="n">
        <x:f>SUM(H87:J87)+K87</x:f>
        <x:v>521</x:v>
      </x:c>
      <x:c r="H87" s="12" t="n">
        <x:v>100</x:v>
      </x:c>
      <x:c r="I87" s="12" t="n">
        <x:v>213</x:v>
      </x:c>
      <x:c r="J87" s="12" t="n">
        <x:v>203</x:v>
      </x:c>
      <x:c r="K87" s="12" t="n">
        <x:f>IF(D87="A",5,0)</x:f>
        <x:v>5</x:v>
      </x:c>
    </x:row>
    <x:row r="88" ht="30" customHeight="1">
      <x:c r="A88" s="11" t="n">
        <x:f>RANK.EQ(G88,$G$2:$G$334,0)</x:f>
        <x:v>87</x:v>
      </x:c>
      <x:c r="B88" s="7" t="str">
        <x:v>SC-002</x:v>
      </x:c>
      <x:c r="C88" s="7" t="str">
        <x:v>SC</x:v>
      </x:c>
      <x:c r="D88" s="7" t="str">
        <x:v>A</x:v>
      </x:c>
      <x:c r="E88" s="8" t="str">
        <x:v>邓融阔</x:v>
      </x:c>
      <x:c r="F88" s="10" t="str">
        <x:v>四川省成都市第七中学</x:v>
      </x:c>
      <x:c r="G88" s="12" t="n">
        <x:f>SUM(H88:J88)+K88</x:f>
        <x:v>520</x:v>
      </x:c>
      <x:c r="H88" s="12" t="n">
        <x:v>100</x:v>
      </x:c>
      <x:c r="I88" s="12" t="n">
        <x:v>216</x:v>
      </x:c>
      <x:c r="J88" s="12" t="n">
        <x:v>199</x:v>
      </x:c>
      <x:c r="K88" s="12" t="n">
        <x:f>IF(D88="A",5,0)</x:f>
        <x:v>5</x:v>
      </x:c>
    </x:row>
    <x:row r="89" ht="30" customHeight="1">
      <x:c r="A89" s="11" t="n">
        <x:f>RANK.EQ(G89,$G$2:$G$334,0)</x:f>
        <x:v>88</x:v>
      </x:c>
      <x:c r="B89" s="7" t="str">
        <x:v>SD-014</x:v>
      </x:c>
      <x:c r="C89" s="7" t="str">
        <x:v>SD</x:v>
      </x:c>
      <x:c r="D89" s="7" t="str">
        <x:v>B</x:v>
      </x:c>
      <x:c r="E89" s="8" t="str">
        <x:v>周信伯</x:v>
      </x:c>
      <x:c r="F89" s="10" t="str">
        <x:v>山东省青岛第二中学</x:v>
      </x:c>
      <x:c r="G89" s="12" t="n">
        <x:f>SUM(H89:J89)+K89</x:f>
        <x:v>519</x:v>
      </x:c>
      <x:c r="H89" s="12" t="n">
        <x:v>100</x:v>
      </x:c>
      <x:c r="I89" s="12" t="n">
        <x:v>267</x:v>
      </x:c>
      <x:c r="J89" s="12" t="n">
        <x:v>152</x:v>
      </x:c>
      <x:c r="K89" s="12" t="n">
        <x:f>IF(D89="A",5,0)</x:f>
        <x:v>0</x:v>
      </x:c>
    </x:row>
    <x:row r="90" ht="30" customHeight="1">
      <x:c r="A90" s="11" t="n">
        <x:f>RANK.EQ(G90,$G$2:$G$334,0)</x:f>
        <x:v>89</x:v>
      </x:c>
      <x:c r="B90" s="7" t="str">
        <x:v>BJ-020</x:v>
      </x:c>
      <x:c r="C90" s="7" t="str">
        <x:v>BJ</x:v>
      </x:c>
      <x:c r="D90" s="7" t="str">
        <x:v>B</x:v>
      </x:c>
      <x:c r="E90" s="8" t="str">
        <x:v>王梓丞</x:v>
      </x:c>
      <x:c r="F90" s="10" t="str">
        <x:v>中国人民大学附属中学</x:v>
      </x:c>
      <x:c r="G90" s="12" t="n">
        <x:f>SUM(H90:J90)+K90</x:f>
        <x:v>516</x:v>
      </x:c>
      <x:c r="H90" s="12" t="n">
        <x:v>100</x:v>
      </x:c>
      <x:c r="I90" s="12" t="n">
        <x:v>268</x:v>
      </x:c>
      <x:c r="J90" s="12" t="n">
        <x:v>148</x:v>
      </x:c>
      <x:c r="K90" s="12" t="n">
        <x:f>IF(D90="A",5,0)</x:f>
        <x:v>0</x:v>
      </x:c>
    </x:row>
    <x:row r="91" ht="30" customHeight="1">
      <x:c r="A91" s="11" t="n">
        <x:f>RANK.EQ(G91,$G$2:$G$334,0)</x:f>
        <x:v>90</x:v>
      </x:c>
      <x:c r="B91" s="7" t="str">
        <x:v>JS-014</x:v>
      </x:c>
      <x:c r="C91" s="7" t="str">
        <x:v>JS</x:v>
      </x:c>
      <x:c r="D91" s="7" t="str">
        <x:v>B</x:v>
      </x:c>
      <x:c r="E91" s="8" t="str">
        <x:v>张桓睿</x:v>
      </x:c>
      <x:c r="F91" s="10" t="str">
        <x:v>南京外国语学校</x:v>
      </x:c>
      <x:c r="G91" s="12" t="n">
        <x:f>SUM(H91:J91)+K91</x:f>
        <x:v>514</x:v>
      </x:c>
      <x:c r="H91" s="12" t="n">
        <x:v>100</x:v>
      </x:c>
      <x:c r="I91" s="12" t="n">
        <x:v>256</x:v>
      </x:c>
      <x:c r="J91" s="12" t="n">
        <x:v>158</x:v>
      </x:c>
      <x:c r="K91" s="12" t="n">
        <x:f>IF(D91="A",5,0)</x:f>
        <x:v>0</x:v>
      </x:c>
    </x:row>
    <x:row r="92" ht="30" customHeight="1">
      <x:c r="A92" s="11" t="n">
        <x:f>RANK.EQ(G92,$G$2:$G$334,0)</x:f>
        <x:v>90</x:v>
      </x:c>
      <x:c r="B92" s="7" t="str">
        <x:v>ZJ-010</x:v>
      </x:c>
      <x:c r="C92" s="7" t="str">
        <x:v>ZJ</x:v>
      </x:c>
      <x:c r="D92" s="7" t="str">
        <x:v>B</x:v>
      </x:c>
      <x:c r="E92" s="8" t="str">
        <x:v>刘家萌</x:v>
      </x:c>
      <x:c r="F92" s="10" t="str">
        <x:v>浙江省诸暨市海亮高级中学</x:v>
      </x:c>
      <x:c r="G92" s="12" t="n">
        <x:f>SUM(H92:J92)+K92</x:f>
        <x:v>514</x:v>
      </x:c>
      <x:c r="H92" s="12" t="n">
        <x:v>100</x:v>
      </x:c>
      <x:c r="I92" s="12" t="n">
        <x:v>239</x:v>
      </x:c>
      <x:c r="J92" s="12" t="n">
        <x:v>175</x:v>
      </x:c>
      <x:c r="K92" s="12" t="n">
        <x:f>IF(D92="A",5,0)</x:f>
        <x:v>0</x:v>
      </x:c>
    </x:row>
    <x:row r="93" ht="30" customHeight="1">
      <x:c r="A93" s="11" t="n">
        <x:f>RANK.EQ(G93,$G$2:$G$334,0)</x:f>
        <x:v>92</x:v>
      </x:c>
      <x:c r="B93" s="7" t="str">
        <x:v>GD-014</x:v>
      </x:c>
      <x:c r="C93" s="7" t="str">
        <x:v>GD</x:v>
      </x:c>
      <x:c r="D93" s="7" t="str">
        <x:v>B</x:v>
      </x:c>
      <x:c r="E93" s="8" t="str">
        <x:v>于镓赫</x:v>
      </x:c>
      <x:c r="F93" s="10" t="str">
        <x:v>广州市铁一中学</x:v>
      </x:c>
      <x:c r="G93" s="12" t="n">
        <x:f>SUM(H93:J93)+K93</x:f>
        <x:v>511</x:v>
      </x:c>
      <x:c r="H93" s="12" t="n">
        <x:v>100</x:v>
      </x:c>
      <x:c r="I93" s="12" t="n">
        <x:v>211</x:v>
      </x:c>
      <x:c r="J93" s="12" t="n">
        <x:v>200</x:v>
      </x:c>
      <x:c r="K93" s="12" t="n">
        <x:f>IF(D93="A",5,0)</x:f>
        <x:v>0</x:v>
      </x:c>
    </x:row>
    <x:row r="94" ht="30" customHeight="1">
      <x:c r="A94" s="11" t="n">
        <x:f>RANK.EQ(G94,$G$2:$G$334,0)</x:f>
        <x:v>93</x:v>
      </x:c>
      <x:c r="B94" s="7" t="str">
        <x:v>JS-008</x:v>
      </x:c>
      <x:c r="C94" s="7" t="str">
        <x:v>JS</x:v>
      </x:c>
      <x:c r="D94" s="7" t="str">
        <x:v>B</x:v>
      </x:c>
      <x:c r="E94" s="8" t="str">
        <x:v>程俊彦</x:v>
      </x:c>
      <x:c r="F94" s="10" t="str">
        <x:v>江苏省苏州中学校</x:v>
      </x:c>
      <x:c r="G94" s="12" t="n">
        <x:f>SUM(H94:J94)+K94</x:f>
        <x:v>510</x:v>
      </x:c>
      <x:c r="H94" s="12" t="n">
        <x:v>100</x:v>
      </x:c>
      <x:c r="I94" s="12" t="n">
        <x:v>202</x:v>
      </x:c>
      <x:c r="J94" s="12" t="n">
        <x:v>208</x:v>
      </x:c>
      <x:c r="K94" s="12" t="n">
        <x:f>IF(D94="A",5,0)</x:f>
        <x:v>0</x:v>
      </x:c>
    </x:row>
    <x:row r="95" ht="30" customHeight="1">
      <x:c r="A95" s="11" t="n">
        <x:f>RANK.EQ(G95,$G$2:$G$334,0)</x:f>
        <x:v>94</x:v>
      </x:c>
      <x:c r="B95" s="7" t="str">
        <x:v>BJ-005</x:v>
      </x:c>
      <x:c r="C95" s="7" t="str">
        <x:v>BJ</x:v>
      </x:c>
      <x:c r="D95" s="7" t="str">
        <x:v>A</x:v>
      </x:c>
      <x:c r="E95" s="8" t="str">
        <x:v>王思源</x:v>
      </x:c>
      <x:c r="F95" s="10" t="str">
        <x:v>中国人民大学附属中学</x:v>
      </x:c>
      <x:c r="G95" s="12" t="n">
        <x:f>SUM(H95:J95)+K95</x:f>
        <x:v>509</x:v>
      </x:c>
      <x:c r="H95" s="12" t="n">
        <x:v>100</x:v>
      </x:c>
      <x:c r="I95" s="12" t="n">
        <x:v>264</x:v>
      </x:c>
      <x:c r="J95" s="12" t="n">
        <x:v>140</x:v>
      </x:c>
      <x:c r="K95" s="12" t="n">
        <x:f>IF(D95="A",5,0)</x:f>
        <x:v>5</x:v>
      </x:c>
    </x:row>
    <x:row r="96" ht="30" customHeight="1">
      <x:c r="A96" s="11" t="n">
        <x:f>RANK.EQ(G96,$G$2:$G$334,0)</x:f>
        <x:v>95</x:v>
      </x:c>
      <x:c r="B96" s="7" t="str">
        <x:v>HN-011</x:v>
      </x:c>
      <x:c r="C96" s="7" t="str">
        <x:v>HN</x:v>
      </x:c>
      <x:c r="D96" s="7" t="str">
        <x:v>B</x:v>
      </x:c>
      <x:c r="E96" s="8" t="str">
        <x:v>匡宸锐</x:v>
      </x:c>
      <x:c r="F96" s="10" t="str">
        <x:v>湖南省长沙市第一中学</x:v>
      </x:c>
      <x:c r="G96" s="12" t="n">
        <x:f>SUM(H96:J96)+K96</x:f>
        <x:v>508</x:v>
      </x:c>
      <x:c r="H96" s="12" t="n">
        <x:v>100</x:v>
      </x:c>
      <x:c r="I96" s="12" t="n">
        <x:v>200</x:v>
      </x:c>
      <x:c r="J96" s="12" t="n">
        <x:v>208</x:v>
      </x:c>
      <x:c r="K96" s="12" t="n">
        <x:f>IF(D96="A",5,0)</x:f>
        <x:v>0</x:v>
      </x:c>
    </x:row>
    <x:row r="97" ht="30" customHeight="1">
      <x:c r="A97" s="11" t="n">
        <x:f>RANK.EQ(G97,$G$2:$G$334,0)</x:f>
        <x:v>96</x:v>
      </x:c>
      <x:c r="B97" s="7" t="str">
        <x:v>SC-006</x:v>
      </x:c>
      <x:c r="C97" s="7" t="str">
        <x:v>SC</x:v>
      </x:c>
      <x:c r="D97" s="7" t="str">
        <x:v>B</x:v>
      </x:c>
      <x:c r="E97" s="8" t="str">
        <x:v>古皓羽</x:v>
      </x:c>
      <x:c r="F97" s="10" t="str">
        <x:v>成都东部新区第七中学校（成都七中东部学校）</x:v>
      </x:c>
      <x:c r="G97" s="12" t="n">
        <x:f>SUM(H97:J97)+K97</x:f>
        <x:v>506</x:v>
      </x:c>
      <x:c r="H97" s="12" t="n">
        <x:v>100</x:v>
      </x:c>
      <x:c r="I97" s="12" t="n">
        <x:v>206</x:v>
      </x:c>
      <x:c r="J97" s="12" t="n">
        <x:v>200</x:v>
      </x:c>
      <x:c r="K97" s="12" t="n">
        <x:f>IF(D97="A",5,0)</x:f>
        <x:v>0</x:v>
      </x:c>
    </x:row>
    <x:row r="98" ht="30" customHeight="1">
      <x:c r="A98" s="11" t="n">
        <x:f>RANK.EQ(G98,$G$2:$G$334,0)</x:f>
        <x:v>96</x:v>
      </x:c>
      <x:c r="B98" s="7" t="str">
        <x:v>ZJ-017</x:v>
      </x:c>
      <x:c r="C98" s="7" t="str">
        <x:v>ZJ</x:v>
      </x:c>
      <x:c r="D98" s="7" t="str">
        <x:v>B</x:v>
      </x:c>
      <x:c r="E98" s="8" t="str">
        <x:v>郑涵匀</x:v>
      </x:c>
      <x:c r="F98" s="10" t="str">
        <x:v>镇海中学台州分校</x:v>
      </x:c>
      <x:c r="G98" s="12" t="n">
        <x:f>SUM(H98:J98)+K98</x:f>
        <x:v>506</x:v>
      </x:c>
      <x:c r="H98" s="12" t="n">
        <x:v>100</x:v>
      </x:c>
      <x:c r="I98" s="12" t="n">
        <x:v>258</x:v>
      </x:c>
      <x:c r="J98" s="12" t="n">
        <x:v>148</x:v>
      </x:c>
      <x:c r="K98" s="12" t="n">
        <x:f>IF(D98="A",5,0)</x:f>
        <x:v>0</x:v>
      </x:c>
    </x:row>
    <x:row r="99" ht="30" customHeight="1">
      <x:c r="A99" s="11" t="n">
        <x:f>RANK.EQ(G99,$G$2:$G$334,0)</x:f>
        <x:v>98</x:v>
      </x:c>
      <x:c r="B99" s="7" t="str">
        <x:v>FJ-010</x:v>
      </x:c>
      <x:c r="C99" s="7" t="str">
        <x:v>FJ</x:v>
      </x:c>
      <x:c r="D99" s="7" t="str">
        <x:v>B</x:v>
      </x:c>
      <x:c r="E99" s="8" t="str">
        <x:v>张子朴</x:v>
      </x:c>
      <x:c r="F99" s="10" t="str">
        <x:v>福建省厦门第一中学</x:v>
      </x:c>
      <x:c r="G99" s="12" t="n">
        <x:f>SUM(H99:J99)+K99</x:f>
        <x:v>505</x:v>
      </x:c>
      <x:c r="H99" s="12" t="n">
        <x:v>100</x:v>
      </x:c>
      <x:c r="I99" s="12" t="n">
        <x:v>205</x:v>
      </x:c>
      <x:c r="J99" s="12" t="n">
        <x:v>200</x:v>
      </x:c>
      <x:c r="K99" s="12" t="n">
        <x:f>IF(D99="A",5,0)</x:f>
        <x:v>0</x:v>
      </x:c>
    </x:row>
    <x:row r="100" ht="30" customHeight="1">
      <x:c r="A100" s="11" t="n">
        <x:f>RANK.EQ(G100,$G$2:$G$334,0)</x:f>
        <x:v>99</x:v>
      </x:c>
      <x:c r="B100" s="7" t="str">
        <x:v>GD-018</x:v>
      </x:c>
      <x:c r="C100" s="7" t="str">
        <x:v>GD</x:v>
      </x:c>
      <x:c r="D100" s="7" t="str">
        <x:v>B</x:v>
      </x:c>
      <x:c r="E100" s="8" t="str">
        <x:v>朱瀚阳</x:v>
      </x:c>
      <x:c r="F100" s="10" t="str">
        <x:v>深圳中学</x:v>
      </x:c>
      <x:c r="G100" s="12" t="n">
        <x:f>SUM(H100:J100)+K100</x:f>
        <x:v>504</x:v>
      </x:c>
      <x:c r="H100" s="12" t="n">
        <x:v>100</x:v>
      </x:c>
      <x:c r="I100" s="12" t="n">
        <x:v>244</x:v>
      </x:c>
      <x:c r="J100" s="12" t="n">
        <x:v>160</x:v>
      </x:c>
      <x:c r="K100" s="12" t="n">
        <x:f>IF(D100="A",5,0)</x:f>
        <x:v>0</x:v>
      </x:c>
    </x:row>
    <x:row r="101" ht="30" customHeight="1">
      <x:c r="A101" s="11" t="n">
        <x:f>RANK.EQ(G101,$G$2:$G$334,0)</x:f>
        <x:v>100</x:v>
      </x:c>
      <x:c r="B101" s="7" t="str">
        <x:v>CQ-014</x:v>
      </x:c>
      <x:c r="C101" s="7" t="str">
        <x:v>CQ</x:v>
      </x:c>
      <x:c r="D101" s="7" t="str">
        <x:v>B</x:v>
      </x:c>
      <x:c r="E101" s="8" t="str">
        <x:v>张宇铭</x:v>
      </x:c>
      <x:c r="F101" s="10" t="str">
        <x:v>重庆市第八中学校</x:v>
      </x:c>
      <x:c r="G101" s="12" t="n">
        <x:f>SUM(H101:J101)+K101</x:f>
        <x:v>502</x:v>
      </x:c>
      <x:c r="H101" s="12" t="n">
        <x:v>100</x:v>
      </x:c>
      <x:c r="I101" s="12" t="n">
        <x:v>194</x:v>
      </x:c>
      <x:c r="J101" s="12" t="n">
        <x:v>208</x:v>
      </x:c>
      <x:c r="K101" s="12" t="n">
        <x:f>IF(D101="A",5,0)</x:f>
        <x:v>0</x:v>
      </x:c>
    </x:row>
    <x:row r="102" ht="30" customHeight="1">
      <x:c r="A102" s="11" t="n">
        <x:f>RANK.EQ(G102,$G$2:$G$334,0)</x:f>
        <x:v>101</x:v>
      </x:c>
      <x:c r="B102" s="7" t="str">
        <x:v>JS-017</x:v>
      </x:c>
      <x:c r="C102" s="7" t="str">
        <x:v>JS</x:v>
      </x:c>
      <x:c r="D102" s="7" t="str">
        <x:v>B</x:v>
      </x:c>
      <x:c r="E102" s="8" t="str">
        <x:v>陶奕潇</x:v>
      </x:c>
      <x:c r="F102" s="10" t="str">
        <x:v>江苏省锡山高级中学</x:v>
      </x:c>
      <x:c r="G102" s="12" t="n">
        <x:f>SUM(H102:J102)+K102</x:f>
        <x:v>501</x:v>
      </x:c>
      <x:c r="H102" s="12" t="n">
        <x:v>100</x:v>
      </x:c>
      <x:c r="I102" s="12" t="n">
        <x:v>211</x:v>
      </x:c>
      <x:c r="J102" s="12" t="n">
        <x:v>190</x:v>
      </x:c>
      <x:c r="K102" s="12" t="n">
        <x:f>IF(D102="A",5,0)</x:f>
        <x:v>0</x:v>
      </x:c>
    </x:row>
    <x:row r="103" ht="30" customHeight="1">
      <x:c r="A103" s="11" t="n">
        <x:f>RANK.EQ(G103,$G$2:$G$334,0)</x:f>
        <x:v>102</x:v>
      </x:c>
      <x:c r="B103" s="7" t="str">
        <x:v>SD-012</x:v>
      </x:c>
      <x:c r="C103" s="7" t="str">
        <x:v>SD</x:v>
      </x:c>
      <x:c r="D103" s="7" t="str">
        <x:v>B</x:v>
      </x:c>
      <x:c r="E103" s="8" t="str">
        <x:v>蒲通</x:v>
      </x:c>
      <x:c r="F103" s="10" t="str">
        <x:v>山东省烟台第二中学</x:v>
      </x:c>
      <x:c r="G103" s="12" t="n">
        <x:f>SUM(H103:J103)+K103</x:f>
        <x:v>500</x:v>
      </x:c>
      <x:c r="H103" s="12" t="n">
        <x:v>100</x:v>
      </x:c>
      <x:c r="I103" s="12" t="n">
        <x:v>196</x:v>
      </x:c>
      <x:c r="J103" s="12" t="n">
        <x:v>204</x:v>
      </x:c>
      <x:c r="K103" s="12" t="n">
        <x:f>IF(D103="A",5,0)</x:f>
        <x:v>0</x:v>
      </x:c>
    </x:row>
    <x:row r="104" ht="30" customHeight="1">
      <x:c r="A104" s="11" t="n">
        <x:f>RANK.EQ(G104,$G$2:$G$334,0)</x:f>
        <x:v>103</x:v>
      </x:c>
      <x:c r="B104" s="7" t="str">
        <x:v>GD-007</x:v>
      </x:c>
      <x:c r="C104" s="7" t="str">
        <x:v>GD</x:v>
      </x:c>
      <x:c r="D104" s="7" t="str">
        <x:v>B</x:v>
      </x:c>
      <x:c r="E104" s="8" t="str">
        <x:v>王梓睿</x:v>
      </x:c>
      <x:c r="F104" s="10" t="str">
        <x:v>佛山市南海区石门中学</x:v>
      </x:c>
      <x:c r="G104" s="12" t="n">
        <x:f>SUM(H104:J104)+K104</x:f>
        <x:v>499</x:v>
      </x:c>
      <x:c r="H104" s="12" t="n">
        <x:v>100</x:v>
      </x:c>
      <x:c r="I104" s="12" t="n">
        <x:v>285</x:v>
      </x:c>
      <x:c r="J104" s="12" t="n">
        <x:v>114</x:v>
      </x:c>
      <x:c r="K104" s="12" t="n">
        <x:f>IF(D104="A",5,0)</x:f>
        <x:v>0</x:v>
      </x:c>
    </x:row>
    <x:row r="105" ht="30" customHeight="1">
      <x:c r="A105" s="11" t="n">
        <x:f>RANK.EQ(G105,$G$2:$G$334,0)</x:f>
        <x:v>104</x:v>
      </x:c>
      <x:c r="B105" s="7" t="str">
        <x:v>SC-001</x:v>
      </x:c>
      <x:c r="C105" s="7" t="str">
        <x:v>SC</x:v>
      </x:c>
      <x:c r="D105" s="7" t="str">
        <x:v>A</x:v>
      </x:c>
      <x:c r="E105" s="8" t="str">
        <x:v>程翊宸</x:v>
      </x:c>
      <x:c r="F105" s="10" t="str">
        <x:v>四川省成都市第七中学</x:v>
      </x:c>
      <x:c r="G105" s="12" t="n">
        <x:f>SUM(H105:J105)+K105</x:f>
        <x:v>495</x:v>
      </x:c>
      <x:c r="H105" s="12" t="n">
        <x:v>100</x:v>
      </x:c>
      <x:c r="I105" s="12" t="n">
        <x:v>254</x:v>
      </x:c>
      <x:c r="J105" s="12" t="n">
        <x:v>136</x:v>
      </x:c>
      <x:c r="K105" s="12" t="n">
        <x:f>IF(D105="A",5,0)</x:f>
        <x:v>5</x:v>
      </x:c>
    </x:row>
    <x:row r="106" ht="30" customHeight="1">
      <x:c r="A106" s="11" t="n">
        <x:f>RANK.EQ(G106,$G$2:$G$334,0)</x:f>
        <x:v>104</x:v>
      </x:c>
      <x:c r="B106" s="7" t="str">
        <x:v>SC-011</x:v>
      </x:c>
      <x:c r="C106" s="7" t="str">
        <x:v>SC</x:v>
      </x:c>
      <x:c r="D106" s="7" t="str">
        <x:v>B</x:v>
      </x:c>
      <x:c r="E106" s="8" t="str">
        <x:v>汪士恒</x:v>
      </x:c>
      <x:c r="F106" s="10" t="str">
        <x:v>成都市锦江区嘉祥外国语高级中学</x:v>
      </x:c>
      <x:c r="G106" s="12" t="n">
        <x:f>SUM(H106:J106)+K106</x:f>
        <x:v>495</x:v>
      </x:c>
      <x:c r="H106" s="12" t="n">
        <x:v>100</x:v>
      </x:c>
      <x:c r="I106" s="12" t="n">
        <x:v>203</x:v>
      </x:c>
      <x:c r="J106" s="12" t="n">
        <x:v>192</x:v>
      </x:c>
      <x:c r="K106" s="12" t="n">
        <x:f>IF(D106="A",5,0)</x:f>
        <x:v>0</x:v>
      </x:c>
    </x:row>
    <x:row r="107" ht="30" customHeight="1">
      <x:c r="A107" s="11" t="n">
        <x:f>RANK.EQ(G107,$G$2:$G$334,0)</x:f>
        <x:v>104</x:v>
      </x:c>
      <x:c r="B107" s="7" t="str">
        <x:v>SH-007</x:v>
      </x:c>
      <x:c r="C107" s="7" t="str">
        <x:v>SH</x:v>
      </x:c>
      <x:c r="D107" s="7" t="str">
        <x:v>B</x:v>
      </x:c>
      <x:c r="E107" s="8" t="str">
        <x:v>蒋周运</x:v>
      </x:c>
      <x:c r="F107" s="10" t="str">
        <x:v>上海市曹杨第二中学</x:v>
      </x:c>
      <x:c r="G107" s="12" t="n">
        <x:f>SUM(H107:J107)+K107</x:f>
        <x:v>495</x:v>
      </x:c>
      <x:c r="H107" s="12" t="n">
        <x:v>100</x:v>
      </x:c>
      <x:c r="I107" s="12" t="n">
        <x:v>213</x:v>
      </x:c>
      <x:c r="J107" s="12" t="n">
        <x:v>182</x:v>
      </x:c>
      <x:c r="K107" s="12" t="n">
        <x:f>IF(D107="A",5,0)</x:f>
        <x:v>0</x:v>
      </x:c>
    </x:row>
    <x:row r="108" ht="30" customHeight="1">
      <x:c r="A108" s="11" t="n">
        <x:f>RANK.EQ(G108,$G$2:$G$334,0)</x:f>
        <x:v>107</x:v>
      </x:c>
      <x:c r="B108" s="7" t="str">
        <x:v>ZJ-020</x:v>
      </x:c>
      <x:c r="C108" s="7" t="str">
        <x:v>ZJ</x:v>
      </x:c>
      <x:c r="D108" s="7" t="str">
        <x:v>B</x:v>
      </x:c>
      <x:c r="E108" s="8" t="str">
        <x:v>金倬汉</x:v>
      </x:c>
      <x:c r="F108" s="10" t="str">
        <x:v>绍兴市第一中学</x:v>
      </x:c>
      <x:c r="G108" s="12" t="n">
        <x:f>SUM(H108:J108)+K108</x:f>
        <x:v>488</x:v>
      </x:c>
      <x:c r="H108" s="12" t="n">
        <x:v>100</x:v>
      </x:c>
      <x:c r="I108" s="12" t="n">
        <x:v>188</x:v>
      </x:c>
      <x:c r="J108" s="12" t="n">
        <x:v>200</x:v>
      </x:c>
      <x:c r="K108" s="12" t="n">
        <x:f>IF(D108="A",5,0)</x:f>
        <x:v>0</x:v>
      </x:c>
    </x:row>
    <x:row r="109" ht="30" customHeight="1">
      <x:c r="A109" s="11" t="n">
        <x:f>RANK.EQ(G109,$G$2:$G$334,0)</x:f>
        <x:v>108</x:v>
      </x:c>
      <x:c r="B109" s="7" t="str">
        <x:v>GD-010</x:v>
      </x:c>
      <x:c r="C109" s="7" t="str">
        <x:v>GD</x:v>
      </x:c>
      <x:c r="D109" s="7" t="str">
        <x:v>B</x:v>
      </x:c>
      <x:c r="E109" s="8" t="str">
        <x:v>李承翰</x:v>
      </x:c>
      <x:c r="F109" s="10" t="str">
        <x:v>华南师范大学附属中学</x:v>
      </x:c>
      <x:c r="G109" s="12" t="n">
        <x:f>SUM(H109:J109)+K109</x:f>
        <x:v>485</x:v>
      </x:c>
      <x:c r="H109" s="12" t="n">
        <x:v>99</x:v>
      </x:c>
      <x:c r="I109" s="12" t="n">
        <x:v>258</x:v>
      </x:c>
      <x:c r="J109" s="12" t="n">
        <x:v>128</x:v>
      </x:c>
      <x:c r="K109" s="12" t="n">
        <x:f>IF(D109="A",5,0)</x:f>
        <x:v>0</x:v>
      </x:c>
    </x:row>
    <x:row r="110" ht="30" customHeight="1">
      <x:c r="A110" s="11" t="n">
        <x:f>RANK.EQ(G110,$G$2:$G$334,0)</x:f>
        <x:v>109</x:v>
      </x:c>
      <x:c r="B110" s="7" t="str">
        <x:v>SD-020</x:v>
      </x:c>
      <x:c r="C110" s="7" t="str">
        <x:v>SD</x:v>
      </x:c>
      <x:c r="D110" s="7" t="str">
        <x:v>B</x:v>
      </x:c>
      <x:c r="E110" s="8" t="str">
        <x:v>栾延嘉</x:v>
      </x:c>
      <x:c r="F110" s="10" t="str">
        <x:v>山东省青岛第二中学</x:v>
      </x:c>
      <x:c r="G110" s="12" t="n">
        <x:f>SUM(H110:J110)+K110</x:f>
        <x:v>484</x:v>
      </x:c>
      <x:c r="H110" s="12" t="n">
        <x:v>100</x:v>
      </x:c>
      <x:c r="I110" s="12" t="n">
        <x:v>216</x:v>
      </x:c>
      <x:c r="J110" s="12" t="n">
        <x:v>168</x:v>
      </x:c>
      <x:c r="K110" s="12" t="n">
        <x:f>IF(D110="A",5,0)</x:f>
        <x:v>0</x:v>
      </x:c>
    </x:row>
    <x:row r="111" ht="30" customHeight="1">
      <x:c r="A111" s="11" t="n">
        <x:f>RANK.EQ(G111,$G$2:$G$334,0)</x:f>
        <x:v>110</x:v>
      </x:c>
      <x:c r="B111" s="7" t="str">
        <x:v>AH-006</x:v>
      </x:c>
      <x:c r="C111" s="7" t="str">
        <x:v>AH</x:v>
      </x:c>
      <x:c r="D111" s="7" t="str">
        <x:v>B</x:v>
      </x:c>
      <x:c r="E111" s="8" t="str">
        <x:v>张宗岳</x:v>
      </x:c>
      <x:c r="F111" s="10" t="str">
        <x:v>安徽师范大学附属中学</x:v>
      </x:c>
      <x:c r="G111" s="12" t="n">
        <x:f>SUM(H111:J111)+K111</x:f>
        <x:v>483</x:v>
      </x:c>
      <x:c r="H111" s="12" t="n">
        <x:v>100</x:v>
      </x:c>
      <x:c r="I111" s="12" t="n">
        <x:v>223</x:v>
      </x:c>
      <x:c r="J111" s="12" t="n">
        <x:v>160</x:v>
      </x:c>
      <x:c r="K111" s="12" t="n">
        <x:f>IF(D111="A",5,0)</x:f>
        <x:v>0</x:v>
      </x:c>
    </x:row>
    <x:row r="112" ht="30" customHeight="1">
      <x:c r="A112" s="11" t="n">
        <x:f>RANK.EQ(G112,$G$2:$G$334,0)</x:f>
        <x:v>110</x:v>
      </x:c>
      <x:c r="B112" s="7" t="str">
        <x:v>SH-006</x:v>
      </x:c>
      <x:c r="C112" s="7" t="str">
        <x:v>SH</x:v>
      </x:c>
      <x:c r="D112" s="7" t="str">
        <x:v>B</x:v>
      </x:c>
      <x:c r="E112" s="8" t="str">
        <x:v>袁悠瑞</x:v>
      </x:c>
      <x:c r="F112" s="10" t="str">
        <x:v>华东师范大学第二附属中学</x:v>
      </x:c>
      <x:c r="G112" s="12" t="n">
        <x:f>SUM(H112:J112)+K112</x:f>
        <x:v>483</x:v>
      </x:c>
      <x:c r="H112" s="12" t="n">
        <x:v>100</x:v>
      </x:c>
      <x:c r="I112" s="12" t="n">
        <x:v>243</x:v>
      </x:c>
      <x:c r="J112" s="12" t="n">
        <x:v>140</x:v>
      </x:c>
      <x:c r="K112" s="12" t="n">
        <x:f>IF(D112="A",5,0)</x:f>
        <x:v>0</x:v>
      </x:c>
    </x:row>
    <x:row r="113" ht="30" customHeight="1">
      <x:c r="A113" s="11" t="n">
        <x:f>RANK.EQ(G113,$G$2:$G$334,0)</x:f>
        <x:v>112</x:v>
      </x:c>
      <x:c r="B113" s="7" t="str">
        <x:v>ZJ-005</x:v>
      </x:c>
      <x:c r="C113" s="7" t="str">
        <x:v>ZJ</x:v>
      </x:c>
      <x:c r="D113" s="7" t="str">
        <x:v>A</x:v>
      </x:c>
      <x:c r="E113" s="8" t="str">
        <x:v>叶禹哲</x:v>
      </x:c>
      <x:c r="F113" s="10" t="str">
        <x:v>宁波市镇海中学</x:v>
      </x:c>
      <x:c r="G113" s="12" t="n">
        <x:f>SUM(H113:J113)+K113</x:f>
        <x:v>482</x:v>
      </x:c>
      <x:c r="H113" s="12" t="n">
        <x:v>100</x:v>
      </x:c>
      <x:c r="I113" s="12" t="n">
        <x:v>225</x:v>
      </x:c>
      <x:c r="J113" s="12" t="n">
        <x:v>152</x:v>
      </x:c>
      <x:c r="K113" s="12" t="n">
        <x:f>IF(D113="A",5,0)</x:f>
        <x:v>5</x:v>
      </x:c>
    </x:row>
    <x:row r="114" ht="30" customHeight="1">
      <x:c r="A114" s="11" t="n">
        <x:f>RANK.EQ(G114,$G$2:$G$334,0)</x:f>
        <x:v>113</x:v>
      </x:c>
      <x:c r="B114" s="7" t="str">
        <x:v>FJ-009</x:v>
      </x:c>
      <x:c r="C114" s="7" t="str">
        <x:v>FJ</x:v>
      </x:c>
      <x:c r="D114" s="7" t="str">
        <x:v>B</x:v>
      </x:c>
      <x:c r="E114" s="8" t="str">
        <x:v>陈麓屹</x:v>
      </x:c>
      <x:c r="F114" s="10" t="str">
        <x:v>福建省厦门双十中学</x:v>
      </x:c>
      <x:c r="G114" s="12" t="n">
        <x:f>SUM(H114:J114)+K114</x:f>
        <x:v>481</x:v>
      </x:c>
      <x:c r="H114" s="12" t="n">
        <x:v>100</x:v>
      </x:c>
      <x:c r="I114" s="12" t="n">
        <x:v>169</x:v>
      </x:c>
      <x:c r="J114" s="12" t="n">
        <x:v>212</x:v>
      </x:c>
      <x:c r="K114" s="12" t="n">
        <x:f>IF(D114="A",5,0)</x:f>
        <x:v>0</x:v>
      </x:c>
    </x:row>
    <x:row r="115" ht="30" customHeight="1">
      <x:c r="A115" s="11" t="n">
        <x:f>RANK.EQ(G115,$G$2:$G$334,0)</x:f>
        <x:v>113</x:v>
      </x:c>
      <x:c r="B115" s="7" t="str">
        <x:v>HB-010</x:v>
      </x:c>
      <x:c r="C115" s="7" t="str">
        <x:v>HB</x:v>
      </x:c>
      <x:c r="D115" s="7" t="str">
        <x:v>B</x:v>
      </x:c>
      <x:c r="E115" s="8" t="str">
        <x:v>易煦翔</x:v>
      </x:c>
      <x:c r="F115" s="10" t="str">
        <x:v>武汉外国语学校</x:v>
      </x:c>
      <x:c r="G115" s="12" t="n">
        <x:f>SUM(H115:J115)+K115</x:f>
        <x:v>481</x:v>
      </x:c>
      <x:c r="H115" s="12" t="n">
        <x:v>100</x:v>
      </x:c>
      <x:c r="I115" s="12" t="n">
        <x:v>221</x:v>
      </x:c>
      <x:c r="J115" s="12" t="n">
        <x:v>160</x:v>
      </x:c>
      <x:c r="K115" s="12" t="n">
        <x:f>IF(D115="A",5,0)</x:f>
        <x:v>0</x:v>
      </x:c>
    </x:row>
    <x:row r="116" ht="30" customHeight="1">
      <x:c r="A116" s="11" t="n">
        <x:f>RANK.EQ(G116,$G$2:$G$334,0)</x:f>
        <x:v>115</x:v>
      </x:c>
      <x:c r="B116" s="7" t="str">
        <x:v>BJ-008</x:v>
      </x:c>
      <x:c r="C116" s="7" t="str">
        <x:v>BJ</x:v>
      </x:c>
      <x:c r="D116" s="7" t="str">
        <x:v>B</x:v>
      </x:c>
      <x:c r="E116" s="8" t="str">
        <x:v>陈一苇</x:v>
      </x:c>
      <x:c r="F116" s="10" t="str">
        <x:v>北京大学附属中学</x:v>
      </x:c>
      <x:c r="G116" s="12" t="n">
        <x:f>SUM(H116:J116)+K116</x:f>
        <x:v>479</x:v>
      </x:c>
      <x:c r="H116" s="12" t="n">
        <x:v>100</x:v>
      </x:c>
      <x:c r="I116" s="12" t="n">
        <x:v>219</x:v>
      </x:c>
      <x:c r="J116" s="12" t="n">
        <x:v>160</x:v>
      </x:c>
      <x:c r="K116" s="12" t="n">
        <x:f>IF(D116="A",5,0)</x:f>
        <x:v>0</x:v>
      </x:c>
    </x:row>
    <x:row r="117" ht="30" customHeight="1">
      <x:c r="A117" s="11" t="n">
        <x:f>RANK.EQ(G117,$G$2:$G$334,0)</x:f>
        <x:v>116</x:v>
      </x:c>
      <x:c r="B117" s="7" t="str">
        <x:v>JL-002</x:v>
      </x:c>
      <x:c r="C117" s="7" t="str">
        <x:v>JL</x:v>
      </x:c>
      <x:c r="D117" s="7" t="str">
        <x:v>A</x:v>
      </x:c>
      <x:c r="E117" s="8" t="str">
        <x:v>高乃严</x:v>
      </x:c>
      <x:c r="F117" s="10" t="str">
        <x:v>东北师范大学附属中学</x:v>
      </x:c>
      <x:c r="G117" s="12" t="n">
        <x:f>SUM(H117:J117)+K117</x:f>
        <x:v>472</x:v>
      </x:c>
      <x:c r="H117" s="12" t="n">
        <x:v>100</x:v>
      </x:c>
      <x:c r="I117" s="12" t="n">
        <x:v>252</x:v>
      </x:c>
      <x:c r="J117" s="12" t="n">
        <x:v>115</x:v>
      </x:c>
      <x:c r="K117" s="12" t="n">
        <x:f>IF(D117="A",5,0)</x:f>
        <x:v>5</x:v>
      </x:c>
    </x:row>
    <x:row r="118" ht="30" customHeight="1">
      <x:c r="A118" s="11" t="n">
        <x:f>RANK.EQ(G118,$G$2:$G$334,0)</x:f>
        <x:v>117</x:v>
      </x:c>
      <x:c r="B118" s="7" t="str">
        <x:v>SC-005</x:v>
      </x:c>
      <x:c r="C118" s="7" t="str">
        <x:v>SC</x:v>
      </x:c>
      <x:c r="D118" s="7" t="str">
        <x:v>A</x:v>
      </x:c>
      <x:c r="E118" s="8" t="str">
        <x:v>张子佩</x:v>
      </x:c>
      <x:c r="F118" s="10" t="str">
        <x:v>成都市锦江区嘉祥外国语高级中学</x:v>
      </x:c>
      <x:c r="G118" s="12" t="n">
        <x:f>SUM(H118:J118)+K118</x:f>
        <x:v>470</x:v>
      </x:c>
      <x:c r="H118" s="12" t="n">
        <x:v>99</x:v>
      </x:c>
      <x:c r="I118" s="12" t="n">
        <x:v>222</x:v>
      </x:c>
      <x:c r="J118" s="12" t="n">
        <x:v>144</x:v>
      </x:c>
      <x:c r="K118" s="12" t="n">
        <x:f>IF(D118="A",5,0)</x:f>
        <x:v>5</x:v>
      </x:c>
    </x:row>
    <x:row r="119" ht="30" customHeight="1">
      <x:c r="A119" s="11" t="n">
        <x:f>RANK.EQ(G119,$G$2:$G$334,0)</x:f>
        <x:v>118</x:v>
      </x:c>
      <x:c r="B119" s="7" t="str">
        <x:v>CQ-013</x:v>
      </x:c>
      <x:c r="C119" s="7" t="str">
        <x:v>CQ</x:v>
      </x:c>
      <x:c r="D119" s="7" t="str">
        <x:v>B</x:v>
      </x:c>
      <x:c r="E119" s="8" t="str">
        <x:v>周琛乔</x:v>
      </x:c>
      <x:c r="F119" s="10" t="str">
        <x:v>重庆市育才中学校</x:v>
      </x:c>
      <x:c r="G119" s="12" t="n">
        <x:f>SUM(H119:J119)+K119</x:f>
        <x:v>467</x:v>
      </x:c>
      <x:c r="H119" s="12" t="n">
        <x:v>100</x:v>
      </x:c>
      <x:c r="I119" s="12" t="n">
        <x:v>231</x:v>
      </x:c>
      <x:c r="J119" s="12" t="n">
        <x:v>136</x:v>
      </x:c>
      <x:c r="K119" s="12" t="n">
        <x:f>IF(D119="A",5,0)</x:f>
        <x:v>0</x:v>
      </x:c>
    </x:row>
    <x:row r="120" ht="30" customHeight="1">
      <x:c r="A120" s="11" t="n">
        <x:f>RANK.EQ(G120,$G$2:$G$334,0)</x:f>
        <x:v>118</x:v>
      </x:c>
      <x:c r="B120" s="7" t="str">
        <x:v>FJ-013</x:v>
      </x:c>
      <x:c r="C120" s="7" t="str">
        <x:v>FJ</x:v>
      </x:c>
      <x:c r="D120" s="7" t="str">
        <x:v>B</x:v>
      </x:c>
      <x:c r="E120" s="8" t="str">
        <x:v>郑锦翼</x:v>
      </x:c>
      <x:c r="F120" s="10" t="str">
        <x:v>福建省福州第三中学</x:v>
      </x:c>
      <x:c r="G120" s="12" t="n">
        <x:f>SUM(H120:J120)+K120</x:f>
        <x:v>467</x:v>
      </x:c>
      <x:c r="H120" s="12" t="n">
        <x:v>100</x:v>
      </x:c>
      <x:c r="I120" s="12" t="n">
        <x:v>223</x:v>
      </x:c>
      <x:c r="J120" s="12" t="n">
        <x:v>144</x:v>
      </x:c>
      <x:c r="K120" s="12" t="n">
        <x:f>IF(D120="A",5,0)</x:f>
        <x:v>0</x:v>
      </x:c>
    </x:row>
    <x:row r="121" ht="30" customHeight="1">
      <x:c r="A121" s="11" t="n">
        <x:f>RANK.EQ(G121,$G$2:$G$334,0)</x:f>
        <x:v>118</x:v>
      </x:c>
      <x:c r="B121" s="7" t="str">
        <x:v>HB-008</x:v>
      </x:c>
      <x:c r="C121" s="7" t="str">
        <x:v>HB</x:v>
      </x:c>
      <x:c r="D121" s="7" t="str">
        <x:v>B</x:v>
      </x:c>
      <x:c r="E121" s="8" t="str">
        <x:v>林安臣</x:v>
      </x:c>
      <x:c r="F121" s="10" t="str">
        <x:v>武汉外国语学校</x:v>
      </x:c>
      <x:c r="G121" s="12" t="n">
        <x:f>SUM(H121:J121)+K121</x:f>
        <x:v>467</x:v>
      </x:c>
      <x:c r="H121" s="12" t="n">
        <x:v>100</x:v>
      </x:c>
      <x:c r="I121" s="12" t="n">
        <x:v>211</x:v>
      </x:c>
      <x:c r="J121" s="12" t="n">
        <x:v>156</x:v>
      </x:c>
      <x:c r="K121" s="12" t="n">
        <x:f>IF(D121="A",5,0)</x:f>
        <x:v>0</x:v>
      </x:c>
    </x:row>
    <x:row r="122" ht="30" customHeight="1">
      <x:c r="A122" s="11" t="n">
        <x:f>RANK.EQ(G122,$G$2:$G$334,0)</x:f>
        <x:v>121</x:v>
      </x:c>
      <x:c r="B122" s="7" t="str">
        <x:v>GZ-001</x:v>
      </x:c>
      <x:c r="C122" s="7" t="str">
        <x:v>GZ</x:v>
      </x:c>
      <x:c r="D122" s="7" t="str">
        <x:v>A</x:v>
      </x:c>
      <x:c r="E122" s="8" t="str">
        <x:v>王爔</x:v>
      </x:c>
      <x:c r="F122" s="10" t="str">
        <x:v>贵阳市华师一学校</x:v>
      </x:c>
      <x:c r="G122" s="12" t="n">
        <x:f>SUM(H122:J122)+K122</x:f>
        <x:v>466</x:v>
      </x:c>
      <x:c r="H122" s="12" t="n">
        <x:v>100</x:v>
      </x:c>
      <x:c r="I122" s="12" t="n">
        <x:v>241</x:v>
      </x:c>
      <x:c r="J122" s="12" t="n">
        <x:v>120</x:v>
      </x:c>
      <x:c r="K122" s="12" t="n">
        <x:f>IF(D122="A",5,0)</x:f>
        <x:v>5</x:v>
      </x:c>
    </x:row>
    <x:row r="123" ht="30" customHeight="1">
      <x:c r="A123" s="11" t="n">
        <x:f>RANK.EQ(G123,$G$2:$G$334,0)</x:f>
        <x:v>122</x:v>
      </x:c>
      <x:c r="B123" s="7" t="str">
        <x:v>HE-005</x:v>
      </x:c>
      <x:c r="C123" s="7" t="str">
        <x:v>HE</x:v>
      </x:c>
      <x:c r="D123" s="7" t="str">
        <x:v>A</x:v>
      </x:c>
      <x:c r="E123" s="8" t="str">
        <x:v>安庆钊</x:v>
      </x:c>
      <x:c r="F123" s="10" t="str">
        <x:v>石家庄二中实验学校</x:v>
      </x:c>
      <x:c r="G123" s="12" t="n">
        <x:f>SUM(H123:J123)+K123</x:f>
        <x:v>465</x:v>
      </x:c>
      <x:c r="H123" s="12" t="n">
        <x:v>100</x:v>
      </x:c>
      <x:c r="I123" s="12" t="n">
        <x:v>216</x:v>
      </x:c>
      <x:c r="J123" s="12" t="n">
        <x:v>144</x:v>
      </x:c>
      <x:c r="K123" s="12" t="n">
        <x:f>IF(D123="A",5,0)</x:f>
        <x:v>5</x:v>
      </x:c>
    </x:row>
    <x:row r="124" ht="30" customHeight="1">
      <x:c r="A124" s="11" t="n">
        <x:f>RANK.EQ(G124,$G$2:$G$334,0)</x:f>
        <x:v>122</x:v>
      </x:c>
      <x:c r="B124" s="7" t="str">
        <x:v>SN-001</x:v>
      </x:c>
      <x:c r="C124" s="7" t="str">
        <x:v>SN</x:v>
      </x:c>
      <x:c r="D124" s="7" t="str">
        <x:v>A</x:v>
      </x:c>
      <x:c r="E124" s="8" t="str">
        <x:v>李倏嘉</x:v>
      </x:c>
      <x:c r="F124" s="10" t="str">
        <x:v>西安铁一中国际合作学校</x:v>
      </x:c>
      <x:c r="G124" s="12" t="n">
        <x:f>SUM(H124:J124)+K124</x:f>
        <x:v>465</x:v>
      </x:c>
      <x:c r="H124" s="12" t="n">
        <x:v>100</x:v>
      </x:c>
      <x:c r="I124" s="12" t="n">
        <x:v>216</x:v>
      </x:c>
      <x:c r="J124" s="12" t="n">
        <x:v>144</x:v>
      </x:c>
      <x:c r="K124" s="12" t="n">
        <x:f>IF(D124="A",5,0)</x:f>
        <x:v>5</x:v>
      </x:c>
    </x:row>
    <x:row r="125" ht="30" customHeight="1">
      <x:c r="A125" s="11" t="n">
        <x:f>RANK.EQ(G125,$G$2:$G$334,0)</x:f>
        <x:v>124</x:v>
      </x:c>
      <x:c r="B125" s="7" t="str">
        <x:v>BJ-006</x:v>
      </x:c>
      <x:c r="C125" s="7" t="str">
        <x:v>BJ</x:v>
      </x:c>
      <x:c r="D125" s="7" t="str">
        <x:v>B</x:v>
      </x:c>
      <x:c r="E125" s="8" t="str">
        <x:v>方铨铎</x:v>
      </x:c>
      <x:c r="F125" s="10" t="str">
        <x:v>北京市十一学校</x:v>
      </x:c>
      <x:c r="G125" s="12" t="n">
        <x:f>SUM(H125:J125)+K125</x:f>
        <x:v>464</x:v>
      </x:c>
      <x:c r="H125" s="12" t="n">
        <x:v>100</x:v>
      </x:c>
      <x:c r="I125" s="12" t="n">
        <x:v>216</x:v>
      </x:c>
      <x:c r="J125" s="12" t="n">
        <x:v>148</x:v>
      </x:c>
      <x:c r="K125" s="12" t="n">
        <x:f>IF(D125="A",5,0)</x:f>
        <x:v>0</x:v>
      </x:c>
    </x:row>
    <x:row r="126" ht="30" customHeight="1">
      <x:c r="A126" s="11" t="n">
        <x:f>RANK.EQ(G126,$G$2:$G$334,0)</x:f>
        <x:v>124</x:v>
      </x:c>
      <x:c r="B126" s="7" t="str">
        <x:v>GD-006</x:v>
      </x:c>
      <x:c r="C126" s="7" t="str">
        <x:v>GD</x:v>
      </x:c>
      <x:c r="D126" s="7" t="str">
        <x:v>B</x:v>
      </x:c>
      <x:c r="E126" s="8" t="str">
        <x:v>涂竣博</x:v>
      </x:c>
      <x:c r="F126" s="10" t="str">
        <x:v>深圳市耀华实验学校</x:v>
      </x:c>
      <x:c r="G126" s="12" t="n">
        <x:f>SUM(H126:J126)+K126</x:f>
        <x:v>464</x:v>
      </x:c>
      <x:c r="H126" s="12" t="n">
        <x:v>100</x:v>
      </x:c>
      <x:c r="I126" s="12" t="n">
        <x:v>196</x:v>
      </x:c>
      <x:c r="J126" s="12" t="n">
        <x:v>168</x:v>
      </x:c>
      <x:c r="K126" s="12" t="n">
        <x:f>IF(D126="A",5,0)</x:f>
        <x:v>0</x:v>
      </x:c>
    </x:row>
    <x:row r="127" ht="30" customHeight="1">
      <x:c r="A127" s="11" t="n">
        <x:f>RANK.EQ(G127,$G$2:$G$334,0)</x:f>
        <x:v>126</x:v>
      </x:c>
      <x:c r="B127" s="7" t="str">
        <x:v>HE-003</x:v>
      </x:c>
      <x:c r="C127" s="7" t="str">
        <x:v>HE</x:v>
      </x:c>
      <x:c r="D127" s="7" t="str">
        <x:v>A</x:v>
      </x:c>
      <x:c r="E127" s="8" t="str">
        <x:v>范小冉</x:v>
      </x:c>
      <x:c r="F127" s="10" t="str">
        <x:v>唐山市第一中学</x:v>
      </x:c>
      <x:c r="G127" s="12" t="n">
        <x:f>SUM(H127:J127)+K127</x:f>
        <x:v>462</x:v>
      </x:c>
      <x:c r="H127" s="12" t="n">
        <x:v>100</x:v>
      </x:c>
      <x:c r="I127" s="12" t="n">
        <x:v>225</x:v>
      </x:c>
      <x:c r="J127" s="12" t="n">
        <x:v>132</x:v>
      </x:c>
      <x:c r="K127" s="12" t="n">
        <x:f>IF(D127="A",5,0)</x:f>
        <x:v>5</x:v>
      </x:c>
    </x:row>
    <x:row r="128" ht="30" customHeight="1">
      <x:c r="A128" s="11" t="n">
        <x:f>RANK.EQ(G128,$G$2:$G$334,0)</x:f>
        <x:v>127</x:v>
      </x:c>
      <x:c r="B128" s="7" t="str">
        <x:v>CQ-011</x:v>
      </x:c>
      <x:c r="C128" s="7" t="str">
        <x:v>CQ</x:v>
      </x:c>
      <x:c r="D128" s="7" t="str">
        <x:v>B</x:v>
      </x:c>
      <x:c r="E128" s="8" t="str">
        <x:v>谢夫汉</x:v>
      </x:c>
      <x:c r="F128" s="10" t="str">
        <x:v>重庆市南开中学校</x:v>
      </x:c>
      <x:c r="G128" s="12" t="n">
        <x:f>SUM(H128:J128)+K128</x:f>
        <x:v>461</x:v>
      </x:c>
      <x:c r="H128" s="12" t="n">
        <x:v>100</x:v>
      </x:c>
      <x:c r="I128" s="12" t="n">
        <x:v>161</x:v>
      </x:c>
      <x:c r="J128" s="12" t="n">
        <x:v>200</x:v>
      </x:c>
      <x:c r="K128" s="12" t="n">
        <x:f>IF(D128="A",5,0)</x:f>
        <x:v>0</x:v>
      </x:c>
    </x:row>
    <x:row r="129" ht="30" customHeight="1">
      <x:c r="A129" s="11" t="n">
        <x:f>RANK.EQ(G129,$G$2:$G$334,0)</x:f>
        <x:v>127</x:v>
      </x:c>
      <x:c r="B129" s="7" t="str">
        <x:v>HL-002</x:v>
      </x:c>
      <x:c r="C129" s="7" t="str">
        <x:v>HL</x:v>
      </x:c>
      <x:c r="D129" s="7" t="str">
        <x:v>A</x:v>
      </x:c>
      <x:c r="E129" s="8" t="str">
        <x:v>杜宇轩</x:v>
      </x:c>
      <x:c r="F129" s="10" t="str">
        <x:v>哈尔滨市第三中学校</x:v>
      </x:c>
      <x:c r="G129" s="12" t="n">
        <x:f>SUM(H129:J129)+K129</x:f>
        <x:v>461</x:v>
      </x:c>
      <x:c r="H129" s="12" t="n">
        <x:v>100</x:v>
      </x:c>
      <x:c r="I129" s="12" t="n">
        <x:v>184</x:v>
      </x:c>
      <x:c r="J129" s="12" t="n">
        <x:v>172</x:v>
      </x:c>
      <x:c r="K129" s="12" t="n">
        <x:f>IF(D129="A",5,0)</x:f>
        <x:v>5</x:v>
      </x:c>
    </x:row>
    <x:row r="130" ht="30" customHeight="1">
      <x:c r="A130" s="11" t="n">
        <x:f>RANK.EQ(G130,$G$2:$G$334,0)</x:f>
        <x:v>127</x:v>
      </x:c>
      <x:c r="B130" s="7" t="str">
        <x:v>HN-009</x:v>
      </x:c>
      <x:c r="C130" s="7" t="str">
        <x:v>HN</x:v>
      </x:c>
      <x:c r="D130" s="7" t="str">
        <x:v>B</x:v>
      </x:c>
      <x:c r="E130" s="8" t="str">
        <x:v>柳子奥</x:v>
      </x:c>
      <x:c r="F130" s="10" t="str">
        <x:v>长沙市雅礼中学</x:v>
      </x:c>
      <x:c r="G130" s="12" t="n">
        <x:f>SUM(H130:J130)+K130</x:f>
        <x:v>461</x:v>
      </x:c>
      <x:c r="H130" s="12" t="n">
        <x:v>100</x:v>
      </x:c>
      <x:c r="I130" s="12" t="n">
        <x:v>237</x:v>
      </x:c>
      <x:c r="J130" s="12" t="n">
        <x:v>124</x:v>
      </x:c>
      <x:c r="K130" s="12" t="n">
        <x:f>IF(D130="A",5,0)</x:f>
        <x:v>0</x:v>
      </x:c>
    </x:row>
    <x:row r="131" ht="30" customHeight="1">
      <x:c r="A131" s="11" t="n">
        <x:f>RANK.EQ(G131,$G$2:$G$334,0)</x:f>
        <x:v>130</x:v>
      </x:c>
      <x:c r="B131" s="7" t="str">
        <x:v>BJ-014</x:v>
      </x:c>
      <x:c r="C131" s="7" t="str">
        <x:v>BJ</x:v>
      </x:c>
      <x:c r="D131" s="7" t="str">
        <x:v>B</x:v>
      </x:c>
      <x:c r="E131" s="8" t="str">
        <x:v>姜博翰</x:v>
      </x:c>
      <x:c r="F131" s="10" t="str">
        <x:v>北京亦庄实验中学</x:v>
      </x:c>
      <x:c r="G131" s="12" t="n">
        <x:f>SUM(H131:J131)+K131</x:f>
        <x:v>458</x:v>
      </x:c>
      <x:c r="H131" s="12" t="n">
        <x:v>100</x:v>
      </x:c>
      <x:c r="I131" s="12" t="n">
        <x:v>198</x:v>
      </x:c>
      <x:c r="J131" s="12" t="n">
        <x:v>160</x:v>
      </x:c>
      <x:c r="K131" s="12" t="n">
        <x:f>IF(D131="A",5,0)</x:f>
        <x:v>0</x:v>
      </x:c>
    </x:row>
    <x:row r="132" ht="30" customHeight="1">
      <x:c r="A132" s="11" t="n">
        <x:f>RANK.EQ(G132,$G$2:$G$334,0)</x:f>
        <x:v>131</x:v>
      </x:c>
      <x:c r="B132" s="7" t="str">
        <x:v>ZJ-012</x:v>
      </x:c>
      <x:c r="C132" s="7" t="str">
        <x:v>ZJ</x:v>
      </x:c>
      <x:c r="D132" s="7" t="str">
        <x:v>B</x:v>
      </x:c>
      <x:c r="E132" s="8" t="str">
        <x:v>潘宏轩</x:v>
      </x:c>
      <x:c r="F132" s="10" t="str">
        <x:v>浙江金华第一中学</x:v>
      </x:c>
      <x:c r="G132" s="12" t="n">
        <x:f>SUM(H132:J132)+K132</x:f>
        <x:v>457</x:v>
      </x:c>
      <x:c r="H132" s="12" t="n">
        <x:v>100</x:v>
      </x:c>
      <x:c r="I132" s="12" t="n">
        <x:v>225</x:v>
      </x:c>
      <x:c r="J132" s="12" t="n">
        <x:v>132</x:v>
      </x:c>
      <x:c r="K132" s="12" t="n">
        <x:f>IF(D132="A",5,0)</x:f>
        <x:v>0</x:v>
      </x:c>
    </x:row>
    <x:row r="133" ht="30" customHeight="1">
      <x:c r="A133" s="11" t="n">
        <x:f>RANK.EQ(G133,$G$2:$G$334,0)</x:f>
        <x:v>132</x:v>
      </x:c>
      <x:c r="B133" s="7" t="str">
        <x:v>CQ-008</x:v>
      </x:c>
      <x:c r="C133" s="7" t="str">
        <x:v>CQ</x:v>
      </x:c>
      <x:c r="D133" s="7" t="str">
        <x:v>B</x:v>
      </x:c>
      <x:c r="E133" s="8" t="str">
        <x:v>张恩铨</x:v>
      </x:c>
      <x:c r="F133" s="10" t="str">
        <x:v>重庆巴蜀科学城中学校</x:v>
      </x:c>
      <x:c r="G133" s="12" t="n">
        <x:f>SUM(H133:J133)+K133</x:f>
        <x:v>456</x:v>
      </x:c>
      <x:c r="H133" s="12" t="n">
        <x:v>100</x:v>
      </x:c>
      <x:c r="I133" s="12" t="n">
        <x:v>192</x:v>
      </x:c>
      <x:c r="J133" s="12" t="n">
        <x:v>164</x:v>
      </x:c>
      <x:c r="K133" s="12" t="n">
        <x:f>IF(D133="A",5,0)</x:f>
        <x:v>0</x:v>
      </x:c>
    </x:row>
    <x:row r="134" ht="30" customHeight="1">
      <x:c r="A134" s="11" t="n">
        <x:f>RANK.EQ(G134,$G$2:$G$334,0)</x:f>
        <x:v>132</x:v>
      </x:c>
      <x:c r="B134" s="7" t="str">
        <x:v>SC-014</x:v>
      </x:c>
      <x:c r="C134" s="7" t="str">
        <x:v>SC</x:v>
      </x:c>
      <x:c r="D134" s="7" t="str">
        <x:v>C</x:v>
      </x:c>
      <x:c r="E134" s="8" t="str">
        <x:v>伍霁葳</x:v>
      </x:c>
      <x:c r="F134" s="10" t="str">
        <x:v>四川省成都市第七中学</x:v>
      </x:c>
      <x:c r="G134" s="12" t="n">
        <x:f>SUM(H134:J134)+K134</x:f>
        <x:v>456</x:v>
      </x:c>
      <x:c r="H134" s="12" t="n">
        <x:v>99</x:v>
      </x:c>
      <x:c r="I134" s="12" t="n">
        <x:v>190</x:v>
      </x:c>
      <x:c r="J134" s="12" t="n">
        <x:v>167</x:v>
      </x:c>
      <x:c r="K134" s="12" t="n">
        <x:f>IF(D134="A",5,0)</x:f>
        <x:v>0</x:v>
      </x:c>
    </x:row>
    <x:row r="135" ht="30" customHeight="1">
      <x:c r="A135" s="11" t="n">
        <x:f>RANK.EQ(G135,$G$2:$G$334,0)</x:f>
        <x:v>134</x:v>
      </x:c>
      <x:c r="B135" s="7" t="str">
        <x:v>BJ-004</x:v>
      </x:c>
      <x:c r="C135" s="7" t="str">
        <x:v>BJ</x:v>
      </x:c>
      <x:c r="D135" s="7" t="str">
        <x:v>A</x:v>
      </x:c>
      <x:c r="E135" s="8" t="str">
        <x:v>王照元</x:v>
      </x:c>
      <x:c r="F135" s="10" t="str">
        <x:v>中国人民大学附属中学</x:v>
      </x:c>
      <x:c r="G135" s="12" t="n">
        <x:f>SUM(H135:J135)+K135</x:f>
        <x:v>455</x:v>
      </x:c>
      <x:c r="H135" s="12" t="n">
        <x:v>100</x:v>
      </x:c>
      <x:c r="I135" s="12" t="n">
        <x:v>222</x:v>
      </x:c>
      <x:c r="J135" s="12" t="n">
        <x:v>128</x:v>
      </x:c>
      <x:c r="K135" s="12" t="n">
        <x:f>IF(D135="A",5,0)</x:f>
        <x:v>5</x:v>
      </x:c>
    </x:row>
    <x:row r="136" ht="30" customHeight="1">
      <x:c r="A136" s="11" t="n">
        <x:f>RANK.EQ(G136,$G$2:$G$334,0)</x:f>
        <x:v>135</x:v>
      </x:c>
      <x:c r="B136" s="7" t="str">
        <x:v>AH-003</x:v>
      </x:c>
      <x:c r="C136" s="7" t="str">
        <x:v>AH</x:v>
      </x:c>
      <x:c r="D136" s="7" t="str">
        <x:v>A</x:v>
      </x:c>
      <x:c r="E136" s="8" t="str">
        <x:v>王天琢</x:v>
      </x:c>
      <x:c r="F136" s="10" t="str">
        <x:v>安徽师范大学附属中学</x:v>
      </x:c>
      <x:c r="G136" s="12" t="n">
        <x:f>SUM(H136:J136)+K136</x:f>
        <x:v>454</x:v>
      </x:c>
      <x:c r="H136" s="12" t="n">
        <x:v>100</x:v>
      </x:c>
      <x:c r="I136" s="12" t="n">
        <x:v>245</x:v>
      </x:c>
      <x:c r="J136" s="12" t="n">
        <x:v>104</x:v>
      </x:c>
      <x:c r="K136" s="12" t="n">
        <x:f>IF(D136="A",5,0)</x:f>
        <x:v>5</x:v>
      </x:c>
    </x:row>
    <x:row r="137" ht="30" customHeight="1">
      <x:c r="A137" s="11" t="n">
        <x:f>RANK.EQ(G137,$G$2:$G$334,0)</x:f>
        <x:v>135</x:v>
      </x:c>
      <x:c r="B137" s="7" t="str">
        <x:v>HN-008</x:v>
      </x:c>
      <x:c r="C137" s="7" t="str">
        <x:v>HN</x:v>
      </x:c>
      <x:c r="D137" s="7" t="str">
        <x:v>B</x:v>
      </x:c>
      <x:c r="E137" s="8" t="str">
        <x:v>范梓轩</x:v>
      </x:c>
      <x:c r="F137" s="10" t="str">
        <x:v>长沙市雅礼中学</x:v>
      </x:c>
      <x:c r="G137" s="12" t="n">
        <x:f>SUM(H137:J137)+K137</x:f>
        <x:v>454</x:v>
      </x:c>
      <x:c r="H137" s="12" t="n">
        <x:v>100</x:v>
      </x:c>
      <x:c r="I137" s="12" t="n">
        <x:v>194</x:v>
      </x:c>
      <x:c r="J137" s="12" t="n">
        <x:v>160</x:v>
      </x:c>
      <x:c r="K137" s="12" t="n">
        <x:f>IF(D137="A",5,0)</x:f>
        <x:v>0</x:v>
      </x:c>
    </x:row>
    <x:row r="138" ht="30" customHeight="1">
      <x:c r="A138" s="11" t="n">
        <x:f>RANK.EQ(G138,$G$2:$G$334,0)</x:f>
        <x:v>137</x:v>
      </x:c>
      <x:c r="B138" s="7" t="str">
        <x:v>HA-006</x:v>
      </x:c>
      <x:c r="C138" s="7" t="str">
        <x:v>HA</x:v>
      </x:c>
      <x:c r="D138" s="7" t="str">
        <x:v>B</x:v>
      </x:c>
      <x:c r="E138" s="8" t="str">
        <x:v>张留诚</x:v>
      </x:c>
      <x:c r="F138" s="10" t="str">
        <x:v>河南省实验中学</x:v>
      </x:c>
      <x:c r="G138" s="12" t="n">
        <x:f>SUM(H138:J138)+K138</x:f>
        <x:v>453</x:v>
      </x:c>
      <x:c r="H138" s="12" t="n">
        <x:v>100</x:v>
      </x:c>
      <x:c r="I138" s="12" t="n">
        <x:v>161</x:v>
      </x:c>
      <x:c r="J138" s="12" t="n">
        <x:v>192</x:v>
      </x:c>
      <x:c r="K138" s="12" t="n">
        <x:f>IF(D138="A",5,0)</x:f>
        <x:v>0</x:v>
      </x:c>
    </x:row>
    <x:row r="139" ht="30" customHeight="1">
      <x:c r="A139" s="11" t="n">
        <x:f>RANK.EQ(G139,$G$2:$G$334,0)</x:f>
        <x:v>137</x:v>
      </x:c>
      <x:c r="B139" s="7" t="str">
        <x:v>JL-003</x:v>
      </x:c>
      <x:c r="C139" s="7" t="str">
        <x:v>JL</x:v>
      </x:c>
      <x:c r="D139" s="7" t="str">
        <x:v>A</x:v>
      </x:c>
      <x:c r="E139" s="8" t="str">
        <x:v>刘瀚博</x:v>
      </x:c>
      <x:c r="F139" s="10" t="str">
        <x:v>长春东师附中青华学校</x:v>
      </x:c>
      <x:c r="G139" s="12" t="n">
        <x:f>SUM(H139:J139)+K139</x:f>
        <x:v>453</x:v>
      </x:c>
      <x:c r="H139" s="12" t="n">
        <x:v>100</x:v>
      </x:c>
      <x:c r="I139" s="12" t="n">
        <x:v>192</x:v>
      </x:c>
      <x:c r="J139" s="12" t="n">
        <x:v>156</x:v>
      </x:c>
      <x:c r="K139" s="12" t="n">
        <x:f>IF(D139="A",5,0)</x:f>
        <x:v>5</x:v>
      </x:c>
    </x:row>
    <x:row r="140" ht="30" customHeight="1">
      <x:c r="A140" s="11" t="n">
        <x:f>RANK.EQ(G140,$G$2:$G$334,0)</x:f>
        <x:v>139</x:v>
      </x:c>
      <x:c r="B140" s="7" t="str">
        <x:v>BJ-013</x:v>
      </x:c>
      <x:c r="C140" s="7" t="str">
        <x:v>BJ</x:v>
      </x:c>
      <x:c r="D140" s="7" t="str">
        <x:v>B</x:v>
      </x:c>
      <x:c r="E140" s="8" t="str">
        <x:v>杨蕙宁</x:v>
      </x:c>
      <x:c r="F140" s="10" t="str">
        <x:v>北京亦庄实验中学</x:v>
      </x:c>
      <x:c r="G140" s="12" t="n">
        <x:f>SUM(H140:J140)+K140</x:f>
        <x:v>452</x:v>
      </x:c>
      <x:c r="H140" s="12" t="n">
        <x:v>100</x:v>
      </x:c>
      <x:c r="I140" s="12" t="n">
        <x:v>196</x:v>
      </x:c>
      <x:c r="J140" s="12" t="n">
        <x:v>156</x:v>
      </x:c>
      <x:c r="K140" s="12" t="n">
        <x:f>IF(D140="A",5,0)</x:f>
        <x:v>0</x:v>
      </x:c>
    </x:row>
    <x:row r="141" ht="30" customHeight="1">
      <x:c r="A141" s="11" t="n">
        <x:f>RANK.EQ(G141,$G$2:$G$334,0)</x:f>
        <x:v>139</x:v>
      </x:c>
      <x:c r="B141" s="7" t="str">
        <x:v>SC-004</x:v>
      </x:c>
      <x:c r="C141" s="7" t="str">
        <x:v>SC</x:v>
      </x:c>
      <x:c r="D141" s="7" t="str">
        <x:v>A</x:v>
      </x:c>
      <x:c r="E141" s="8" t="str">
        <x:v>王译萱</x:v>
      </x:c>
      <x:c r="F141" s="10" t="str">
        <x:v>成都市锦江区嘉祥外国语高级中学</x:v>
      </x:c>
      <x:c r="G141" s="12" t="n">
        <x:f>SUM(H141:J141)+K141</x:f>
        <x:v>452</x:v>
      </x:c>
      <x:c r="H141" s="12" t="n">
        <x:v>100</x:v>
      </x:c>
      <x:c r="I141" s="12" t="n">
        <x:v>236</x:v>
      </x:c>
      <x:c r="J141" s="12" t="n">
        <x:v>111</x:v>
      </x:c>
      <x:c r="K141" s="12" t="n">
        <x:f>IF(D141="A",5,0)</x:f>
        <x:v>5</x:v>
      </x:c>
    </x:row>
    <x:row r="142" ht="30" customHeight="1">
      <x:c r="A142" s="11" t="n">
        <x:f>RANK.EQ(G142,$G$2:$G$334,0)</x:f>
        <x:v>141</x:v>
      </x:c>
      <x:c r="B142" s="7" t="str">
        <x:v>FJ-006</x:v>
      </x:c>
      <x:c r="C142" s="7" t="str">
        <x:v>FJ</x:v>
      </x:c>
      <x:c r="D142" s="7" t="str">
        <x:v>B</x:v>
      </x:c>
      <x:c r="E142" s="8" t="str">
        <x:v>陈麒润</x:v>
      </x:c>
      <x:c r="F142" s="10" t="str">
        <x:v>福建省泉州第一中学</x:v>
      </x:c>
      <x:c r="G142" s="12" t="n">
        <x:f>SUM(H142:J142)+K142</x:f>
        <x:v>451</x:v>
      </x:c>
      <x:c r="H142" s="12" t="n">
        <x:v>100</x:v>
      </x:c>
      <x:c r="I142" s="12" t="n">
        <x:v>187</x:v>
      </x:c>
      <x:c r="J142" s="12" t="n">
        <x:v>164</x:v>
      </x:c>
      <x:c r="K142" s="12" t="n">
        <x:f>IF(D142="A",5,0)</x:f>
        <x:v>0</x:v>
      </x:c>
    </x:row>
    <x:row r="143" ht="30" customHeight="1">
      <x:c r="A143" s="11" t="n">
        <x:f>RANK.EQ(G143,$G$2:$G$334,0)</x:f>
        <x:v>141</x:v>
      </x:c>
      <x:c r="B143" s="7" t="str">
        <x:v>JL-001</x:v>
      </x:c>
      <x:c r="C143" s="7" t="str">
        <x:v>JL</x:v>
      </x:c>
      <x:c r="D143" s="7" t="str">
        <x:v>A</x:v>
      </x:c>
      <x:c r="E143" s="8" t="str">
        <x:v>刘淏祎</x:v>
      </x:c>
      <x:c r="F143" s="10" t="str">
        <x:v>东北师范大学附属中学</x:v>
      </x:c>
      <x:c r="G143" s="12" t="n">
        <x:f>SUM(H143:J143)+K143</x:f>
        <x:v>451</x:v>
      </x:c>
      <x:c r="H143" s="12" t="n">
        <x:v>100</x:v>
      </x:c>
      <x:c r="I143" s="12" t="n">
        <x:v>233</x:v>
      </x:c>
      <x:c r="J143" s="12" t="n">
        <x:v>113</x:v>
      </x:c>
      <x:c r="K143" s="12" t="n">
        <x:f>IF(D143="A",5,0)</x:f>
        <x:v>5</x:v>
      </x:c>
    </x:row>
    <x:row r="144" ht="30" customHeight="1">
      <x:c r="A144" s="11" t="n">
        <x:f>RANK.EQ(G144,$G$2:$G$334,0)</x:f>
        <x:v>143</x:v>
      </x:c>
      <x:c r="B144" s="7" t="str">
        <x:v>SC-009</x:v>
      </x:c>
      <x:c r="C144" s="7" t="str">
        <x:v>SC</x:v>
      </x:c>
      <x:c r="D144" s="7" t="str">
        <x:v>B</x:v>
      </x:c>
      <x:c r="E144" s="8" t="str">
        <x:v>彭赞滔</x:v>
      </x:c>
      <x:c r="F144" s="10" t="str">
        <x:v>成都市锦江区嘉祥外国语高级中学</x:v>
      </x:c>
      <x:c r="G144" s="12" t="n">
        <x:f>SUM(H144:J144)+K144</x:f>
        <x:v>448</x:v>
      </x:c>
      <x:c r="H144" s="12" t="n">
        <x:v>100</x:v>
      </x:c>
      <x:c r="I144" s="12" t="n">
        <x:v>216</x:v>
      </x:c>
      <x:c r="J144" s="12" t="n">
        <x:v>132</x:v>
      </x:c>
      <x:c r="K144" s="12" t="n">
        <x:f>IF(D144="A",5,0)</x:f>
        <x:v>0</x:v>
      </x:c>
    </x:row>
    <x:row r="145" ht="30" customHeight="1">
      <x:c r="A145" s="11" t="n">
        <x:f>RANK.EQ(G145,$G$2:$G$334,0)</x:f>
        <x:v>144</x:v>
      </x:c>
      <x:c r="B145" s="7" t="str">
        <x:v>HB-007</x:v>
      </x:c>
      <x:c r="C145" s="7" t="str">
        <x:v>HB</x:v>
      </x:c>
      <x:c r="D145" s="7" t="str">
        <x:v>B</x:v>
      </x:c>
      <x:c r="E145" s="8" t="str">
        <x:v>覃歆轲</x:v>
      </x:c>
      <x:c r="F145" s="10" t="str">
        <x:v>宜昌市夷陵中学</x:v>
      </x:c>
      <x:c r="G145" s="12" t="n">
        <x:f>SUM(H145:J145)+K145</x:f>
        <x:v>445</x:v>
      </x:c>
      <x:c r="H145" s="12" t="n">
        <x:v>100</x:v>
      </x:c>
      <x:c r="I145" s="12" t="n">
        <x:v>193</x:v>
      </x:c>
      <x:c r="J145" s="12" t="n">
        <x:v>152</x:v>
      </x:c>
      <x:c r="K145" s="12" t="n">
        <x:f>IF(D145="A",5,0)</x:f>
        <x:v>0</x:v>
      </x:c>
    </x:row>
    <x:row r="146" ht="30" customHeight="1">
      <x:c r="A146" s="11" t="n">
        <x:f>RANK.EQ(G146,$G$2:$G$334,0)</x:f>
        <x:v>145</x:v>
      </x:c>
      <x:c r="B146" s="7" t="str">
        <x:v>BJ-007</x:v>
      </x:c>
      <x:c r="C146" s="7" t="str">
        <x:v>BJ</x:v>
      </x:c>
      <x:c r="D146" s="7" t="str">
        <x:v>B</x:v>
      </x:c>
      <x:c r="E146" s="8" t="str">
        <x:v>陈信允</x:v>
      </x:c>
      <x:c r="F146" s="10" t="str">
        <x:v>北京市十一学校</x:v>
      </x:c>
      <x:c r="G146" s="12" t="n">
        <x:f>SUM(H146:J146)+K146</x:f>
        <x:v>444</x:v>
      </x:c>
      <x:c r="H146" s="12" t="n">
        <x:v>100</x:v>
      </x:c>
      <x:c r="I146" s="12" t="n">
        <x:v>216</x:v>
      </x:c>
      <x:c r="J146" s="12" t="n">
        <x:v>128</x:v>
      </x:c>
      <x:c r="K146" s="12" t="n">
        <x:f>IF(D146="A",5,0)</x:f>
        <x:v>0</x:v>
      </x:c>
    </x:row>
    <x:row r="147" ht="30" customHeight="1">
      <x:c r="A147" s="11" t="n">
        <x:f>RANK.EQ(G147,$G$2:$G$334,0)</x:f>
        <x:v>145</x:v>
      </x:c>
      <x:c r="B147" s="7" t="str">
        <x:v>JS-018</x:v>
      </x:c>
      <x:c r="C147" s="7" t="str">
        <x:v>JS</x:v>
      </x:c>
      <x:c r="D147" s="7" t="str">
        <x:v>B</x:v>
      </x:c>
      <x:c r="E147" s="8" t="str">
        <x:v>汪瑞锟</x:v>
      </x:c>
      <x:c r="F147" s="10" t="str">
        <x:v>江苏省锡山高级中学</x:v>
      </x:c>
      <x:c r="G147" s="12" t="n">
        <x:f>SUM(H147:J147)+K147</x:f>
        <x:v>444</x:v>
      </x:c>
      <x:c r="H147" s="12" t="n">
        <x:v>100</x:v>
      </x:c>
      <x:c r="I147" s="12" t="n">
        <x:v>196</x:v>
      </x:c>
      <x:c r="J147" s="12" t="n">
        <x:v>148</x:v>
      </x:c>
      <x:c r="K147" s="12" t="n">
        <x:f>IF(D147="A",5,0)</x:f>
        <x:v>0</x:v>
      </x:c>
    </x:row>
    <x:row r="148" ht="30" customHeight="1">
      <x:c r="A148" s="11" t="n">
        <x:f>RANK.EQ(G148,$G$2:$G$334,0)</x:f>
        <x:v>145</x:v>
      </x:c>
      <x:c r="B148" s="7" t="str">
        <x:v>SH-011</x:v>
      </x:c>
      <x:c r="C148" s="7" t="str">
        <x:v>SH</x:v>
      </x:c>
      <x:c r="D148" s="7" t="str">
        <x:v>B</x:v>
      </x:c>
      <x:c r="E148" s="8" t="str">
        <x:v>左天佑</x:v>
      </x:c>
      <x:c r="F148" s="10" t="str">
        <x:v>上海交通大学附属中学</x:v>
      </x:c>
      <x:c r="G148" s="12" t="n">
        <x:f>SUM(H148:J148)+K148</x:f>
        <x:v>444</x:v>
      </x:c>
      <x:c r="H148" s="12" t="n">
        <x:v>100</x:v>
      </x:c>
      <x:c r="I148" s="12" t="n">
        <x:v>216</x:v>
      </x:c>
      <x:c r="J148" s="12" t="n">
        <x:v>128</x:v>
      </x:c>
      <x:c r="K148" s="12" t="n">
        <x:f>IF(D148="A",5,0)</x:f>
        <x:v>0</x:v>
      </x:c>
    </x:row>
    <x:row r="149" ht="30" customHeight="1">
      <x:c r="A149" s="11" t="n">
        <x:f>RANK.EQ(G149,$G$2:$G$334,0)</x:f>
        <x:v>148</x:v>
      </x:c>
      <x:c r="B149" s="7" t="str">
        <x:v>ZJ-015</x:v>
      </x:c>
      <x:c r="C149" s="7" t="str">
        <x:v>ZJ</x:v>
      </x:c>
      <x:c r="D149" s="7" t="str">
        <x:v>B</x:v>
      </x:c>
      <x:c r="E149" s="8" t="str">
        <x:v>姚岩峰</x:v>
      </x:c>
      <x:c r="F149" s="10" t="str">
        <x:v>浙江省诸暨市海亮高级中学</x:v>
      </x:c>
      <x:c r="G149" s="12" t="n">
        <x:f>SUM(H149:J149)+K149</x:f>
        <x:v>440</x:v>
      </x:c>
      <x:c r="H149" s="12" t="n">
        <x:v>100</x:v>
      </x:c>
      <x:c r="I149" s="12" t="n">
        <x:v>196</x:v>
      </x:c>
      <x:c r="J149" s="12" t="n">
        <x:v>144</x:v>
      </x:c>
      <x:c r="K149" s="12" t="n">
        <x:f>IF(D149="A",5,0)</x:f>
        <x:v>0</x:v>
      </x:c>
    </x:row>
    <x:row r="150" ht="30" customHeight="1">
      <x:c r="A150" s="11" t="n">
        <x:f>RANK.EQ(G150,$G$2:$G$334,0)</x:f>
        <x:v>149</x:v>
      </x:c>
      <x:c r="B150" s="7" t="str">
        <x:v>SD-019</x:v>
      </x:c>
      <x:c r="C150" s="7" t="str">
        <x:v>SD</x:v>
      </x:c>
      <x:c r="D150" s="7" t="str">
        <x:v>B</x:v>
      </x:c>
      <x:c r="E150" s="8" t="str">
        <x:v>李秉泽</x:v>
      </x:c>
      <x:c r="F150" s="10" t="str">
        <x:v>山东省青岛第二中学</x:v>
      </x:c>
      <x:c r="G150" s="12" t="n">
        <x:f>SUM(H150:J150)+K150</x:f>
        <x:v>439</x:v>
      </x:c>
      <x:c r="H150" s="12" t="n">
        <x:v>100</x:v>
      </x:c>
      <x:c r="I150" s="12" t="n">
        <x:v>135</x:v>
      </x:c>
      <x:c r="J150" s="12" t="n">
        <x:v>204</x:v>
      </x:c>
      <x:c r="K150" s="12" t="n">
        <x:f>IF(D150="A",5,0)</x:f>
        <x:v>0</x:v>
      </x:c>
    </x:row>
    <x:row r="151" ht="30" customHeight="1">
      <x:c r="A151" s="11" t="n">
        <x:f>RANK.EQ(G151,$G$2:$G$334,0)</x:f>
        <x:v>150</x:v>
      </x:c>
      <x:c r="B151" s="7" t="str">
        <x:v>CQ-017</x:v>
      </x:c>
      <x:c r="C151" s="7" t="str">
        <x:v>CQ</x:v>
      </x:c>
      <x:c r="D151" s="7" t="str">
        <x:v>B</x:v>
      </x:c>
      <x:c r="E151" s="8" t="str">
        <x:v>曾奕翰</x:v>
      </x:c>
      <x:c r="F151" s="10" t="str">
        <x:v>重庆市育才中学校</x:v>
      </x:c>
      <x:c r="G151" s="12" t="n">
        <x:f>SUM(H151:J151)+K151</x:f>
        <x:v>437</x:v>
      </x:c>
      <x:c r="H151" s="12" t="n">
        <x:v>100</x:v>
      </x:c>
      <x:c r="I151" s="12" t="n">
        <x:v>196</x:v>
      </x:c>
      <x:c r="J151" s="12" t="n">
        <x:v>141</x:v>
      </x:c>
      <x:c r="K151" s="12" t="n">
        <x:f>IF(D151="A",5,0)</x:f>
        <x:v>0</x:v>
      </x:c>
    </x:row>
    <x:row r="152" ht="30" customHeight="1">
      <x:c r="A152" s="11" t="n">
        <x:f>RANK.EQ(G152,$G$2:$G$334,0)</x:f>
        <x:v>151</x:v>
      </x:c>
      <x:c r="B152" s="7" t="str">
        <x:v>GX-001</x:v>
      </x:c>
      <x:c r="C152" s="7" t="str">
        <x:v>GX</x:v>
      </x:c>
      <x:c r="D152" s="7" t="str">
        <x:v>A</x:v>
      </x:c>
      <x:c r="E152" s="8" t="str">
        <x:v>胡开棣</x:v>
      </x:c>
      <x:c r="F152" s="10" t="str">
        <x:v>柳州铁一中学</x:v>
      </x:c>
      <x:c r="G152" s="12" t="n">
        <x:f>SUM(H152:J152)+K152</x:f>
        <x:v>435</x:v>
      </x:c>
      <x:c r="H152" s="12" t="n">
        <x:v>100</x:v>
      </x:c>
      <x:c r="I152" s="12" t="n">
        <x:v>178</x:v>
      </x:c>
      <x:c r="J152" s="12" t="n">
        <x:v>152</x:v>
      </x:c>
      <x:c r="K152" s="12" t="n">
        <x:f>IF(D152="A",5,0)</x:f>
        <x:v>5</x:v>
      </x:c>
    </x:row>
    <x:row r="153" ht="30" customHeight="1">
      <x:c r="A153" s="11" t="n">
        <x:f>RANK.EQ(G153,$G$2:$G$334,0)</x:f>
        <x:v>152</x:v>
      </x:c>
      <x:c r="B153" s="7" t="str">
        <x:v>SC-008</x:v>
      </x:c>
      <x:c r="C153" s="7" t="str">
        <x:v>SC</x:v>
      </x:c>
      <x:c r="D153" s="7" t="str">
        <x:v>B</x:v>
      </x:c>
      <x:c r="E153" s="8" t="str">
        <x:v>马周</x:v>
      </x:c>
      <x:c r="F153" s="10" t="str">
        <x:v>成都市新津区成实外高级中学</x:v>
      </x:c>
      <x:c r="G153" s="12" t="n">
        <x:f>SUM(H153:J153)+K153</x:f>
        <x:v>434</x:v>
      </x:c>
      <x:c r="H153" s="12" t="n">
        <x:v>100</x:v>
      </x:c>
      <x:c r="I153" s="12" t="n">
        <x:v>170</x:v>
      </x:c>
      <x:c r="J153" s="12" t="n">
        <x:v>164</x:v>
      </x:c>
      <x:c r="K153" s="12" t="n">
        <x:f>IF(D153="A",5,0)</x:f>
        <x:v>0</x:v>
      </x:c>
    </x:row>
    <x:row r="154" ht="30" customHeight="1">
      <x:c r="A154" s="11" t="n">
        <x:f>RANK.EQ(G154,$G$2:$G$334,0)</x:f>
        <x:v>153</x:v>
      </x:c>
      <x:c r="B154" s="7" t="str">
        <x:v>CQ-007</x:v>
      </x:c>
      <x:c r="C154" s="7" t="str">
        <x:v>CQ</x:v>
      </x:c>
      <x:c r="D154" s="7" t="str">
        <x:v>B</x:v>
      </x:c>
      <x:c r="E154" s="8" t="str">
        <x:v>罗文佐</x:v>
      </x:c>
      <x:c r="F154" s="10" t="str">
        <x:v>重庆市第八中学校</x:v>
      </x:c>
      <x:c r="G154" s="12" t="n">
        <x:f>SUM(H154:J154)+K154</x:f>
        <x:v>433</x:v>
      </x:c>
      <x:c r="H154" s="12" t="n">
        <x:v>100</x:v>
      </x:c>
      <x:c r="I154" s="12" t="n">
        <x:v>173</x:v>
      </x:c>
      <x:c r="J154" s="12" t="n">
        <x:v>160</x:v>
      </x:c>
      <x:c r="K154" s="12" t="n">
        <x:f>IF(D154="A",5,0)</x:f>
        <x:v>0</x:v>
      </x:c>
    </x:row>
    <x:row r="155" ht="30" customHeight="1">
      <x:c r="A155" s="11" t="n">
        <x:f>RANK.EQ(G155,$G$2:$G$334,0)</x:f>
        <x:v>154</x:v>
      </x:c>
      <x:c r="B155" s="7" t="str">
        <x:v>HE-004</x:v>
      </x:c>
      <x:c r="C155" s="7" t="str">
        <x:v>HE</x:v>
      </x:c>
      <x:c r="D155" s="7" t="str">
        <x:v>A</x:v>
      </x:c>
      <x:c r="E155" s="8" t="str">
        <x:v>何冠泽</x:v>
      </x:c>
      <x:c r="F155" s="10" t="str">
        <x:v>衡水滏阳中学</x:v>
      </x:c>
      <x:c r="G155" s="12" t="n">
        <x:f>SUM(H155:J155)+K155</x:f>
        <x:v>432</x:v>
      </x:c>
      <x:c r="H155" s="12" t="n">
        <x:v>100</x:v>
      </x:c>
      <x:c r="I155" s="12" t="n">
        <x:v>199</x:v>
      </x:c>
      <x:c r="J155" s="12" t="n">
        <x:v>128</x:v>
      </x:c>
      <x:c r="K155" s="12" t="n">
        <x:f>IF(D155="A",5,0)</x:f>
        <x:v>5</x:v>
      </x:c>
    </x:row>
    <x:row r="156" ht="30" customHeight="1">
      <x:c r="A156" s="11" t="n">
        <x:f>RANK.EQ(G156,$G$2:$G$334,0)</x:f>
        <x:v>154</x:v>
      </x:c>
      <x:c r="B156" s="7" t="str">
        <x:v>SD-021</x:v>
      </x:c>
      <x:c r="C156" s="7" t="str">
        <x:v>SD</x:v>
      </x:c>
      <x:c r="D156" s="7" t="str">
        <x:v>B</x:v>
      </x:c>
      <x:c r="E156" s="8" t="str">
        <x:v>于松鑫</x:v>
      </x:c>
      <x:c r="F156" s="10" t="str">
        <x:v>山东省平邑第一中学</x:v>
      </x:c>
      <x:c r="G156" s="12" t="n">
        <x:f>SUM(H156:J156)+K156</x:f>
        <x:v>432</x:v>
      </x:c>
      <x:c r="H156" s="12" t="n">
        <x:v>100</x:v>
      </x:c>
      <x:c r="I156" s="12" t="n">
        <x:v>196</x:v>
      </x:c>
      <x:c r="J156" s="12" t="n">
        <x:v>136</x:v>
      </x:c>
      <x:c r="K156" s="12" t="n">
        <x:f>IF(D156="A",5,0)</x:f>
        <x:v>0</x:v>
      </x:c>
    </x:row>
    <x:row r="157" ht="30" customHeight="1">
      <x:c r="A157" s="11" t="n">
        <x:f>RANK.EQ(G157,$G$2:$G$334,0)</x:f>
        <x:v>156</x:v>
      </x:c>
      <x:c r="B157" s="7" t="str">
        <x:v>HA-002</x:v>
      </x:c>
      <x:c r="C157" s="7" t="str">
        <x:v>HA</x:v>
      </x:c>
      <x:c r="D157" s="7" t="str">
        <x:v>A</x:v>
      </x:c>
      <x:c r="E157" s="8" t="str">
        <x:v>贾孟澄</x:v>
      </x:c>
      <x:c r="F157" s="10" t="str">
        <x:v>郑州外国语新枫杨学校</x:v>
      </x:c>
      <x:c r="G157" s="12" t="n">
        <x:f>SUM(H157:J157)+K157</x:f>
        <x:v>431</x:v>
      </x:c>
      <x:c r="H157" s="12" t="n">
        <x:v>100</x:v>
      </x:c>
      <x:c r="I157" s="12" t="n">
        <x:v>174</x:v>
      </x:c>
      <x:c r="J157" s="12" t="n">
        <x:v>152</x:v>
      </x:c>
      <x:c r="K157" s="12" t="n">
        <x:f>IF(D157="A",5,0)</x:f>
        <x:v>5</x:v>
      </x:c>
    </x:row>
    <x:row r="158" ht="30" customHeight="1">
      <x:c r="A158" s="11" t="n">
        <x:f>RANK.EQ(G158,$G$2:$G$334,0)</x:f>
        <x:v>157</x:v>
      </x:c>
      <x:c r="B158" s="7" t="str">
        <x:v>SN-003</x:v>
      </x:c>
      <x:c r="C158" s="7" t="str">
        <x:v>SN</x:v>
      </x:c>
      <x:c r="D158" s="7" t="str">
        <x:v>A</x:v>
      </x:c>
      <x:c r="E158" s="8" t="str">
        <x:v>丁一宸</x:v>
      </x:c>
      <x:c r="F158" s="10" t="str">
        <x:v>西安高新第一中学</x:v>
      </x:c>
      <x:c r="G158" s="12" t="n">
        <x:f>SUM(H158:J158)+K158</x:f>
        <x:v>430</x:v>
      </x:c>
      <x:c r="H158" s="12" t="n">
        <x:v>100</x:v>
      </x:c>
      <x:c r="I158" s="12" t="n">
        <x:v>223</x:v>
      </x:c>
      <x:c r="J158" s="12" t="n">
        <x:v>102</x:v>
      </x:c>
      <x:c r="K158" s="12" t="n">
        <x:f>IF(D158="A",5,0)</x:f>
        <x:v>5</x:v>
      </x:c>
    </x:row>
    <x:row r="159" ht="30" customHeight="1">
      <x:c r="A159" s="11" t="n">
        <x:f>RANK.EQ(G159,$G$2:$G$334,0)</x:f>
        <x:v>158</x:v>
      </x:c>
      <x:c r="B159" s="7" t="str">
        <x:v>GD-005</x:v>
      </x:c>
      <x:c r="C159" s="7" t="str">
        <x:v>GD</x:v>
      </x:c>
      <x:c r="D159" s="7" t="str">
        <x:v>A</x:v>
      </x:c>
      <x:c r="E159" s="8" t="str">
        <x:v>刘君仪</x:v>
      </x:c>
      <x:c r="F159" s="10" t="str">
        <x:v>广州大学附属中学</x:v>
      </x:c>
      <x:c r="G159" s="12" t="n">
        <x:f>SUM(H159:J159)+K159</x:f>
        <x:v>429</x:v>
      </x:c>
      <x:c r="H159" s="12" t="n">
        <x:v>100</x:v>
      </x:c>
      <x:c r="I159" s="12" t="n">
        <x:v>176</x:v>
      </x:c>
      <x:c r="J159" s="12" t="n">
        <x:v>148</x:v>
      </x:c>
      <x:c r="K159" s="12" t="n">
        <x:f>IF(D159="A",5,0)</x:f>
        <x:v>5</x:v>
      </x:c>
    </x:row>
    <x:row r="160" ht="30" customHeight="1">
      <x:c r="A160" s="11" t="n">
        <x:f>RANK.EQ(G160,$G$2:$G$334,0)</x:f>
        <x:v>158</x:v>
      </x:c>
      <x:c r="B160" s="7" t="str">
        <x:v>GZ-004</x:v>
      </x:c>
      <x:c r="C160" s="7" t="str">
        <x:v>GZ</x:v>
      </x:c>
      <x:c r="D160" s="7" t="str">
        <x:v>A</x:v>
      </x:c>
      <x:c r="E160" s="8" t="str">
        <x:v>甘梓辰</x:v>
      </x:c>
      <x:c r="F160" s="10" t="str">
        <x:v>贵阳市第一中学</x:v>
      </x:c>
      <x:c r="G160" s="12" t="n">
        <x:f>SUM(H160:J160)+K160</x:f>
        <x:v>429</x:v>
      </x:c>
      <x:c r="H160" s="12" t="n">
        <x:v>100</x:v>
      </x:c>
      <x:c r="I160" s="12" t="n">
        <x:v>188</x:v>
      </x:c>
      <x:c r="J160" s="12" t="n">
        <x:v>136</x:v>
      </x:c>
      <x:c r="K160" s="12" t="n">
        <x:f>IF(D160="A",5,0)</x:f>
        <x:v>5</x:v>
      </x:c>
    </x:row>
    <x:row r="161" ht="30" customHeight="1">
      <x:c r="A161" s="11" t="n">
        <x:f>RANK.EQ(G161,$G$2:$G$334,0)</x:f>
        <x:v>158</x:v>
      </x:c>
      <x:c r="B161" s="7" t="str">
        <x:v>HN-007</x:v>
      </x:c>
      <x:c r="C161" s="7" t="str">
        <x:v>HN</x:v>
      </x:c>
      <x:c r="D161" s="7" t="str">
        <x:v>B</x:v>
      </x:c>
      <x:c r="E161" s="8" t="str">
        <x:v>宁梓钦</x:v>
      </x:c>
      <x:c r="F161" s="10" t="str">
        <x:v>长沙市雅礼中学</x:v>
      </x:c>
      <x:c r="G161" s="12" t="n">
        <x:f>SUM(H161:J161)+K161</x:f>
        <x:v>429</x:v>
      </x:c>
      <x:c r="H161" s="12" t="n">
        <x:v>100</x:v>
      </x:c>
      <x:c r="I161" s="12" t="n">
        <x:v>226</x:v>
      </x:c>
      <x:c r="J161" s="12" t="n">
        <x:v>103</x:v>
      </x:c>
      <x:c r="K161" s="12" t="n">
        <x:f>IF(D161="A",5,0)</x:f>
        <x:v>0</x:v>
      </x:c>
    </x:row>
    <x:row r="162" ht="30" customHeight="1">
      <x:c r="A162" s="11" t="n">
        <x:f>RANK.EQ(G162,$G$2:$G$334,0)</x:f>
        <x:v>158</x:v>
      </x:c>
      <x:c r="B162" s="7" t="str">
        <x:v>JX-002</x:v>
      </x:c>
      <x:c r="C162" s="7" t="str">
        <x:v>JX</x:v>
      </x:c>
      <x:c r="D162" s="7" t="str">
        <x:v>A</x:v>
      </x:c>
      <x:c r="E162" s="8" t="str">
        <x:v>王梓沣</x:v>
      </x:c>
      <x:c r="F162" s="10" t="str">
        <x:v>江西科技学院附属中学</x:v>
      </x:c>
      <x:c r="G162" s="12" t="n">
        <x:f>SUM(H162:J162)+K162</x:f>
        <x:v>429</x:v>
      </x:c>
      <x:c r="H162" s="12" t="n">
        <x:v>100</x:v>
      </x:c>
      <x:c r="I162" s="12" t="n">
        <x:v>196</x:v>
      </x:c>
      <x:c r="J162" s="12" t="n">
        <x:v>128</x:v>
      </x:c>
      <x:c r="K162" s="12" t="n">
        <x:f>IF(D162="A",5,0)</x:f>
        <x:v>5</x:v>
      </x:c>
    </x:row>
    <x:row r="163" ht="30" customHeight="1">
      <x:c r="A163" s="11" t="n">
        <x:f>RANK.EQ(G163,$G$2:$G$334,0)</x:f>
        <x:v>162</x:v>
      </x:c>
      <x:c r="B163" s="7" t="str">
        <x:v>AH-004</x:v>
      </x:c>
      <x:c r="C163" s="7" t="str">
        <x:v>AH</x:v>
      </x:c>
      <x:c r="D163" s="7" t="str">
        <x:v>A</x:v>
      </x:c>
      <x:c r="E163" s="8" t="str">
        <x:v>李天麟</x:v>
      </x:c>
      <x:c r="F163" s="10" t="str">
        <x:v>安徽省阜阳第一中学</x:v>
      </x:c>
      <x:c r="G163" s="12" t="n">
        <x:f>SUM(H163:J163)+K163</x:f>
        <x:v>428</x:v>
      </x:c>
      <x:c r="H163" s="12" t="n">
        <x:v>100</x:v>
      </x:c>
      <x:c r="I163" s="12" t="n">
        <x:v>192</x:v>
      </x:c>
      <x:c r="J163" s="12" t="n">
        <x:v>131</x:v>
      </x:c>
      <x:c r="K163" s="12" t="n">
        <x:f>IF(D163="A",5,0)</x:f>
        <x:v>5</x:v>
      </x:c>
    </x:row>
    <x:row r="164" ht="30" customHeight="1">
      <x:c r="A164" s="11" t="n">
        <x:f>RANK.EQ(G164,$G$2:$G$334,0)</x:f>
        <x:v>162</x:v>
      </x:c>
      <x:c r="B164" s="7" t="str">
        <x:v>JS-009</x:v>
      </x:c>
      <x:c r="C164" s="7" t="str">
        <x:v>JS</x:v>
      </x:c>
      <x:c r="D164" s="7" t="str">
        <x:v>B</x:v>
      </x:c>
      <x:c r="E164" s="8" t="str">
        <x:v>邢苏瞳</x:v>
      </x:c>
      <x:c r="F164" s="10" t="str">
        <x:v>江苏省天一中学</x:v>
      </x:c>
      <x:c r="G164" s="12" t="n">
        <x:f>SUM(H164:J164)+K164</x:f>
        <x:v>428</x:v>
      </x:c>
      <x:c r="H164" s="12" t="n">
        <x:v>100</x:v>
      </x:c>
      <x:c r="I164" s="12" t="n">
        <x:v>200</x:v>
      </x:c>
      <x:c r="J164" s="12" t="n">
        <x:v>128</x:v>
      </x:c>
      <x:c r="K164" s="12" t="n">
        <x:f>IF(D164="A",5,0)</x:f>
        <x:v>0</x:v>
      </x:c>
    </x:row>
    <x:row r="165" ht="30" customHeight="1">
      <x:c r="A165" s="11" t="n">
        <x:f>RANK.EQ(G165,$G$2:$G$334,0)</x:f>
        <x:v>162</x:v>
      </x:c>
      <x:c r="B165" s="7" t="str">
        <x:v>SH-009</x:v>
      </x:c>
      <x:c r="C165" s="7" t="str">
        <x:v>SH</x:v>
      </x:c>
      <x:c r="D165" s="7" t="str">
        <x:v>B</x:v>
      </x:c>
      <x:c r="E165" s="8" t="str">
        <x:v>孙楷洹</x:v>
      </x:c>
      <x:c r="F165" s="10" t="str">
        <x:v>华东师范大学第二附属中学</x:v>
      </x:c>
      <x:c r="G165" s="12" t="n">
        <x:f>SUM(H165:J165)+K165</x:f>
        <x:v>428</x:v>
      </x:c>
      <x:c r="H165" s="12" t="n">
        <x:v>100</x:v>
      </x:c>
      <x:c r="I165" s="12" t="n">
        <x:v>228</x:v>
      </x:c>
      <x:c r="J165" s="12" t="n">
        <x:v>100</x:v>
      </x:c>
      <x:c r="K165" s="12" t="n">
        <x:f>IF(D165="A",5,0)</x:f>
        <x:v>0</x:v>
      </x:c>
    </x:row>
    <x:row r="166" ht="30" customHeight="1">
      <x:c r="A166" s="11" t="n">
        <x:f>RANK.EQ(G166,$G$2:$G$334,0)</x:f>
        <x:v>165</x:v>
      </x:c>
      <x:c r="B166" s="7" t="str">
        <x:v>BJ-011</x:v>
      </x:c>
      <x:c r="C166" s="7" t="str">
        <x:v>BJ</x:v>
      </x:c>
      <x:c r="D166" s="7" t="str">
        <x:v>B</x:v>
      </x:c>
      <x:c r="E166" s="8" t="str">
        <x:v>黄子怀</x:v>
      </x:c>
      <x:c r="F166" s="10" t="str">
        <x:v>北京大学附属中学</x:v>
      </x:c>
      <x:c r="G166" s="12" t="n">
        <x:f>SUM(H166:J166)+K166</x:f>
        <x:v>427</x:v>
      </x:c>
      <x:c r="H166" s="12" t="n">
        <x:v>100</x:v>
      </x:c>
      <x:c r="I166" s="12" t="n">
        <x:v>195</x:v>
      </x:c>
      <x:c r="J166" s="12" t="n">
        <x:v>132</x:v>
      </x:c>
      <x:c r="K166" s="12" t="n">
        <x:f>IF(D166="A",5,0)</x:f>
        <x:v>0</x:v>
      </x:c>
    </x:row>
    <x:row r="167" ht="30" customHeight="1">
      <x:c r="A167" s="11" t="n">
        <x:f>RANK.EQ(G167,$G$2:$G$334,0)</x:f>
        <x:v>165</x:v>
      </x:c>
      <x:c r="B167" s="7" t="str">
        <x:v>LN-002</x:v>
      </x:c>
      <x:c r="C167" s="7" t="str">
        <x:v>LN</x:v>
      </x:c>
      <x:c r="D167" s="7" t="str">
        <x:v>A</x:v>
      </x:c>
      <x:c r="E167" s="8" t="str">
        <x:v>白晏宁</x:v>
      </x:c>
      <x:c r="F167" s="10" t="str">
        <x:v>辽宁省实验中学</x:v>
      </x:c>
      <x:c r="G167" s="12" t="n">
        <x:f>SUM(H167:J167)+K167</x:f>
        <x:v>427</x:v>
      </x:c>
      <x:c r="H167" s="12" t="n">
        <x:v>100</x:v>
      </x:c>
      <x:c r="I167" s="12" t="n">
        <x:v>190</x:v>
      </x:c>
      <x:c r="J167" s="12" t="n">
        <x:v>132</x:v>
      </x:c>
      <x:c r="K167" s="12" t="n">
        <x:f>IF(D167="A",5,0)</x:f>
        <x:v>5</x:v>
      </x:c>
    </x:row>
    <x:row r="168" ht="30" customHeight="1">
      <x:c r="A168" s="11" t="n">
        <x:f>RANK.EQ(G168,$G$2:$G$334,0)</x:f>
        <x:v>167</x:v>
      </x:c>
      <x:c r="B168" s="7" t="str">
        <x:v>ZJ-014</x:v>
      </x:c>
      <x:c r="C168" s="7" t="str">
        <x:v>ZJ</x:v>
      </x:c>
      <x:c r="D168" s="7" t="str">
        <x:v>B</x:v>
      </x:c>
      <x:c r="E168" s="8" t="str">
        <x:v>杨添盛</x:v>
      </x:c>
      <x:c r="F168" s="10" t="str">
        <x:v>宁波市镇海蛟川书院</x:v>
      </x:c>
      <x:c r="G168" s="12" t="n">
        <x:f>SUM(H168:J168)+K168</x:f>
        <x:v>425</x:v>
      </x:c>
      <x:c r="H168" s="12" t="n">
        <x:v>100</x:v>
      </x:c>
      <x:c r="I168" s="12" t="n">
        <x:v>210</x:v>
      </x:c>
      <x:c r="J168" s="12" t="n">
        <x:v>115</x:v>
      </x:c>
      <x:c r="K168" s="12" t="n">
        <x:f>IF(D168="A",5,0)</x:f>
        <x:v>0</x:v>
      </x:c>
    </x:row>
    <x:row r="169" ht="30" customHeight="1">
      <x:c r="A169" s="11" t="n">
        <x:f>RANK.EQ(G169,$G$2:$G$334,0)</x:f>
        <x:v>168</x:v>
      </x:c>
      <x:c r="B169" s="7" t="str">
        <x:v>FJ-007</x:v>
      </x:c>
      <x:c r="C169" s="7" t="str">
        <x:v>FJ</x:v>
      </x:c>
      <x:c r="D169" s="7" t="str">
        <x:v>B</x:v>
      </x:c>
      <x:c r="E169" s="8" t="str">
        <x:v>谢承翊</x:v>
      </x:c>
      <x:c r="F169" s="10" t="str">
        <x:v>福建省福州第一中学</x:v>
      </x:c>
      <x:c r="G169" s="12" t="n">
        <x:f>SUM(H169:J169)+K169</x:f>
        <x:v>422</x:v>
      </x:c>
      <x:c r="H169" s="12" t="n">
        <x:v>100</x:v>
      </x:c>
      <x:c r="I169" s="12" t="n">
        <x:v>170</x:v>
      </x:c>
      <x:c r="J169" s="12" t="n">
        <x:v>152</x:v>
      </x:c>
      <x:c r="K169" s="12" t="n">
        <x:f>IF(D169="A",5,0)</x:f>
        <x:v>0</x:v>
      </x:c>
    </x:row>
    <x:row r="170" ht="30" customHeight="1">
      <x:c r="A170" s="11" t="n">
        <x:f>RANK.EQ(G170,$G$2:$G$334,0)</x:f>
        <x:v>168</x:v>
      </x:c>
      <x:c r="B170" s="7" t="str">
        <x:v>LN-001</x:v>
      </x:c>
      <x:c r="C170" s="7" t="str">
        <x:v>LN</x:v>
      </x:c>
      <x:c r="D170" s="7" t="str">
        <x:v>A</x:v>
      </x:c>
      <x:c r="E170" s="8" t="str">
        <x:v>李宇祁</x:v>
      </x:c>
      <x:c r="F170" s="10" t="str">
        <x:v>东北育才学校</x:v>
      </x:c>
      <x:c r="G170" s="12" t="n">
        <x:f>SUM(H170:J170)+K170</x:f>
        <x:v>422</x:v>
      </x:c>
      <x:c r="H170" s="12" t="n">
        <x:v>100</x:v>
      </x:c>
      <x:c r="I170" s="12" t="n">
        <x:v>200</x:v>
      </x:c>
      <x:c r="J170" s="12" t="n">
        <x:v>117</x:v>
      </x:c>
      <x:c r="K170" s="12" t="n">
        <x:f>IF(D170="A",5,0)</x:f>
        <x:v>5</x:v>
      </x:c>
    </x:row>
    <x:row r="171" ht="30" customHeight="1">
      <x:c r="A171" s="11" t="n">
        <x:f>RANK.EQ(G171,$G$2:$G$334,0)</x:f>
        <x:v>170</x:v>
      </x:c>
      <x:c r="B171" s="7" t="str">
        <x:v>SD-011</x:v>
      </x:c>
      <x:c r="C171" s="7" t="str">
        <x:v>SD</x:v>
      </x:c>
      <x:c r="D171" s="7" t="str">
        <x:v>B</x:v>
      </x:c>
      <x:c r="E171" s="8" t="str">
        <x:v>韩佳航</x:v>
      </x:c>
      <x:c r="F171" s="10" t="str">
        <x:v>济南市历城第二中学</x:v>
      </x:c>
      <x:c r="G171" s="12" t="n">
        <x:f>SUM(H171:J171)+K171</x:f>
        <x:v>421</x:v>
      </x:c>
      <x:c r="H171" s="12" t="n">
        <x:v>100</x:v>
      </x:c>
      <x:c r="I171" s="12" t="n">
        <x:v>202</x:v>
      </x:c>
      <x:c r="J171" s="12" t="n">
        <x:v>119</x:v>
      </x:c>
      <x:c r="K171" s="12" t="n">
        <x:f>IF(D171="A",5,0)</x:f>
        <x:v>0</x:v>
      </x:c>
    </x:row>
    <x:row r="172" ht="30" customHeight="1">
      <x:c r="A172" s="11" t="n">
        <x:f>RANK.EQ(G172,$G$2:$G$334,0)</x:f>
        <x:v>171</x:v>
      </x:c>
      <x:c r="B172" s="7" t="str">
        <x:v>SN-002</x:v>
      </x:c>
      <x:c r="C172" s="7" t="str">
        <x:v>SN</x:v>
      </x:c>
      <x:c r="D172" s="7" t="str">
        <x:v>A</x:v>
      </x:c>
      <x:c r="E172" s="8" t="str">
        <x:v>祖渝鸿</x:v>
      </x:c>
      <x:c r="F172" s="10" t="str">
        <x:v>西安交通大学附属中学</x:v>
      </x:c>
      <x:c r="G172" s="12" t="n">
        <x:f>SUM(H172:J172)+K172</x:f>
        <x:v>420</x:v>
      </x:c>
      <x:c r="H172" s="12" t="n">
        <x:v>100</x:v>
      </x:c>
      <x:c r="I172" s="12" t="n">
        <x:v>213</x:v>
      </x:c>
      <x:c r="J172" s="12" t="n">
        <x:v>102</x:v>
      </x:c>
      <x:c r="K172" s="12" t="n">
        <x:f>IF(D172="A",5,0)</x:f>
        <x:v>5</x:v>
      </x:c>
    </x:row>
    <x:row r="173" ht="30" customHeight="1">
      <x:c r="A173" s="11" t="n">
        <x:f>RANK.EQ(G173,$G$2:$G$334,0)</x:f>
        <x:v>172</x:v>
      </x:c>
      <x:c r="B173" s="7" t="str">
        <x:v>JS-001</x:v>
      </x:c>
      <x:c r="C173" s="7" t="str">
        <x:v>JS</x:v>
      </x:c>
      <x:c r="D173" s="7" t="str">
        <x:v>A</x:v>
      </x:c>
      <x:c r="E173" s="8" t="str">
        <x:v>黄钰安</x:v>
      </x:c>
      <x:c r="F173" s="10" t="str">
        <x:v>江苏省南菁高级中学</x:v>
      </x:c>
      <x:c r="G173" s="12" t="n">
        <x:f>SUM(H173:J173)+K173</x:f>
        <x:v>418</x:v>
      </x:c>
      <x:c r="H173" s="12" t="n">
        <x:v>100</x:v>
      </x:c>
      <x:c r="I173" s="12" t="n">
        <x:v>193</x:v>
      </x:c>
      <x:c r="J173" s="12" t="n">
        <x:v>120</x:v>
      </x:c>
      <x:c r="K173" s="12" t="n">
        <x:f>IF(D173="A",5,0)</x:f>
        <x:v>5</x:v>
      </x:c>
    </x:row>
    <x:row r="174" ht="30" customHeight="1">
      <x:c r="A174" s="11" t="n">
        <x:f>RANK.EQ(G174,$G$2:$G$334,0)</x:f>
        <x:v>173</x:v>
      </x:c>
      <x:c r="B174" s="7" t="str">
        <x:v>SN-006</x:v>
      </x:c>
      <x:c r="C174" s="7" t="str">
        <x:v>SN</x:v>
      </x:c>
      <x:c r="D174" s="7" t="str">
        <x:v>B</x:v>
      </x:c>
      <x:c r="E174" s="8" t="str">
        <x:v>张嘉宁</x:v>
      </x:c>
      <x:c r="F174" s="10" t="str">
        <x:v>渭南中学</x:v>
      </x:c>
      <x:c r="G174" s="12" t="n">
        <x:f>SUM(H174:J174)+K174</x:f>
        <x:v>417</x:v>
      </x:c>
      <x:c r="H174" s="12" t="n">
        <x:v>98</x:v>
      </x:c>
      <x:c r="I174" s="12" t="n">
        <x:v>210</x:v>
      </x:c>
      <x:c r="J174" s="12" t="n">
        <x:v>109</x:v>
      </x:c>
      <x:c r="K174" s="12" t="n">
        <x:f>IF(D174="A",5,0)</x:f>
        <x:v>0</x:v>
      </x:c>
    </x:row>
    <x:row r="175" ht="30" customHeight="1">
      <x:c r="A175" s="11" t="n">
        <x:f>RANK.EQ(G175,$G$2:$G$334,0)</x:f>
        <x:v>174</x:v>
      </x:c>
      <x:c r="B175" s="7" t="str">
        <x:v>AH-009</x:v>
      </x:c>
      <x:c r="C175" s="7" t="str">
        <x:v>AH</x:v>
      </x:c>
      <x:c r="D175" s="7" t="str">
        <x:v>B</x:v>
      </x:c>
      <x:c r="E175" s="8" t="str">
        <x:v>石奥翔</x:v>
      </x:c>
      <x:c r="F175" s="10" t="str">
        <x:v>安徽省马鞍山市第二中学</x:v>
      </x:c>
      <x:c r="G175" s="12" t="n">
        <x:f>SUM(H175:J175)+K175</x:f>
        <x:v>416</x:v>
      </x:c>
      <x:c r="H175" s="12" t="n">
        <x:v>100</x:v>
      </x:c>
      <x:c r="I175" s="12" t="n">
        <x:v>144</x:v>
      </x:c>
      <x:c r="J175" s="12" t="n">
        <x:v>172</x:v>
      </x:c>
      <x:c r="K175" s="12" t="n">
        <x:f>IF(D175="A",5,0)</x:f>
        <x:v>0</x:v>
      </x:c>
    </x:row>
    <x:row r="176" ht="30" customHeight="1">
      <x:c r="A176" s="11" t="n">
        <x:f>RANK.EQ(G176,$G$2:$G$334,0)</x:f>
        <x:v>175</x:v>
      </x:c>
      <x:c r="B176" s="7" t="str">
        <x:v>JX-008</x:v>
      </x:c>
      <x:c r="C176" s="7" t="str">
        <x:v>JX</x:v>
      </x:c>
      <x:c r="D176" s="7" t="str">
        <x:v>B</x:v>
      </x:c>
      <x:c r="E176" s="8" t="str">
        <x:v>徐梓钦</x:v>
      </x:c>
      <x:c r="F176" s="10" t="str">
        <x:v>广丰贞白中学</x:v>
      </x:c>
      <x:c r="G176" s="12" t="n">
        <x:f>SUM(H176:J176)+K176</x:f>
        <x:v>414</x:v>
      </x:c>
      <x:c r="H176" s="12" t="n">
        <x:v>100</x:v>
      </x:c>
      <x:c r="I176" s="12" t="n">
        <x:v>166</x:v>
      </x:c>
      <x:c r="J176" s="12" t="n">
        <x:v>148</x:v>
      </x:c>
      <x:c r="K176" s="12" t="n">
        <x:f>IF(D176="A",5,0)</x:f>
        <x:v>0</x:v>
      </x:c>
    </x:row>
    <x:row r="177" ht="30" customHeight="1">
      <x:c r="A177" s="11" t="n">
        <x:f>RANK.EQ(G177,$G$2:$G$334,0)</x:f>
        <x:v>176</x:v>
      </x:c>
      <x:c r="B177" s="7" t="str">
        <x:v>FJ-012</x:v>
      </x:c>
      <x:c r="C177" s="7" t="str">
        <x:v>FJ</x:v>
      </x:c>
      <x:c r="D177" s="7" t="str">
        <x:v>B</x:v>
      </x:c>
      <x:c r="E177" s="8" t="str">
        <x:v>李洋阳</x:v>
      </x:c>
      <x:c r="F177" s="10" t="str">
        <x:v>福建省福州第三中学</x:v>
      </x:c>
      <x:c r="G177" s="12" t="n">
        <x:f>SUM(H177:J177)+K177</x:f>
        <x:v>413</x:v>
      </x:c>
      <x:c r="H177" s="12" t="n">
        <x:v>100</x:v>
      </x:c>
      <x:c r="I177" s="12" t="n">
        <x:v>189</x:v>
      </x:c>
      <x:c r="J177" s="12" t="n">
        <x:v>124</x:v>
      </x:c>
      <x:c r="K177" s="12" t="n">
        <x:f>IF(D177="A",5,0)</x:f>
        <x:v>0</x:v>
      </x:c>
    </x:row>
    <x:row r="178" ht="30" customHeight="1">
      <x:c r="A178" s="11" t="n">
        <x:f>RANK.EQ(G178,$G$2:$G$334,0)</x:f>
        <x:v>177</x:v>
      </x:c>
      <x:c r="B178" s="7" t="str">
        <x:v>JS-007</x:v>
      </x:c>
      <x:c r="C178" s="7" t="str">
        <x:v>JS</x:v>
      </x:c>
      <x:c r="D178" s="7" t="str">
        <x:v>B</x:v>
      </x:c>
      <x:c r="E178" s="8" t="str">
        <x:v>房雨萱</x:v>
      </x:c>
      <x:c r="F178" s="10" t="str">
        <x:v>江苏省苏州中学校</x:v>
      </x:c>
      <x:c r="G178" s="12" t="n">
        <x:f>SUM(H178:J178)+K178</x:f>
        <x:v>410</x:v>
      </x:c>
      <x:c r="H178" s="12" t="n">
        <x:v>98</x:v>
      </x:c>
      <x:c r="I178" s="12" t="n">
        <x:v>168</x:v>
      </x:c>
      <x:c r="J178" s="12" t="n">
        <x:v>144</x:v>
      </x:c>
      <x:c r="K178" s="12" t="n">
        <x:f>IF(D178="A",5,0)</x:f>
        <x:v>0</x:v>
      </x:c>
    </x:row>
    <x:row r="179" ht="30" customHeight="1">
      <x:c r="A179" s="11" t="n">
        <x:f>RANK.EQ(G179,$G$2:$G$334,0)</x:f>
        <x:v>177</x:v>
      </x:c>
      <x:c r="B179" s="7" t="str">
        <x:v>SC-007</x:v>
      </x:c>
      <x:c r="C179" s="7" t="str">
        <x:v>SC</x:v>
      </x:c>
      <x:c r="D179" s="7" t="str">
        <x:v>B</x:v>
      </x:c>
      <x:c r="E179" s="8" t="str">
        <x:v>蒋林逍</x:v>
      </x:c>
      <x:c r="F179" s="10" t="str">
        <x:v>四川省成都市第七中学</x:v>
      </x:c>
      <x:c r="G179" s="12" t="n">
        <x:f>SUM(H179:J179)+K179</x:f>
        <x:v>410</x:v>
      </x:c>
      <x:c r="H179" s="12" t="n">
        <x:v>100</x:v>
      </x:c>
      <x:c r="I179" s="12" t="n">
        <x:v>186</x:v>
      </x:c>
      <x:c r="J179" s="12" t="n">
        <x:v>124</x:v>
      </x:c>
      <x:c r="K179" s="12" t="n">
        <x:f>IF(D179="A",5,0)</x:f>
        <x:v>0</x:v>
      </x:c>
    </x:row>
    <x:row r="180" ht="30" customHeight="1">
      <x:c r="A180" s="11" t="n">
        <x:f>RANK.EQ(G180,$G$2:$G$334,0)</x:f>
        <x:v>177</x:v>
      </x:c>
      <x:c r="B180" s="7" t="str">
        <x:v>SD-013</x:v>
      </x:c>
      <x:c r="C180" s="7" t="str">
        <x:v>SD</x:v>
      </x:c>
      <x:c r="D180" s="7" t="str">
        <x:v>B</x:v>
      </x:c>
      <x:c r="E180" s="8" t="str">
        <x:v>包赟瑞</x:v>
      </x:c>
      <x:c r="F180" s="10" t="str">
        <x:v>山东省烟台第二中学</x:v>
      </x:c>
      <x:c r="G180" s="12" t="n">
        <x:f>SUM(H180:J180)+K180</x:f>
        <x:v>410</x:v>
      </x:c>
      <x:c r="H180" s="12" t="n">
        <x:v>100</x:v>
      </x:c>
      <x:c r="I180" s="12" t="n">
        <x:v>192</x:v>
      </x:c>
      <x:c r="J180" s="12" t="n">
        <x:v>118</x:v>
      </x:c>
      <x:c r="K180" s="12" t="n">
        <x:f>IF(D180="A",5,0)</x:f>
        <x:v>0</x:v>
      </x:c>
    </x:row>
    <x:row r="181" ht="30" customHeight="1">
      <x:c r="A181" s="11" t="n">
        <x:f>RANK.EQ(G181,$G$2:$G$334,0)</x:f>
        <x:v>180</x:v>
      </x:c>
      <x:c r="B181" s="7" t="str">
        <x:v>HA-004</x:v>
      </x:c>
      <x:c r="C181" s="7" t="str">
        <x:v>HA</x:v>
      </x:c>
      <x:c r="D181" s="7" t="str">
        <x:v>A</x:v>
      </x:c>
      <x:c r="E181" s="8" t="str">
        <x:v>刘雨杭</x:v>
      </x:c>
      <x:c r="F181" s="10" t="str">
        <x:v>郑州外国语学校</x:v>
      </x:c>
      <x:c r="G181" s="12" t="n">
        <x:f>SUM(H181:J181)+K181</x:f>
        <x:v>409</x:v>
      </x:c>
      <x:c r="H181" s="12" t="n">
        <x:v>100</x:v>
      </x:c>
      <x:c r="I181" s="12" t="n">
        <x:v>168</x:v>
      </x:c>
      <x:c r="J181" s="12" t="n">
        <x:v>136</x:v>
      </x:c>
      <x:c r="K181" s="12" t="n">
        <x:f>IF(D181="A",5,0)</x:f>
        <x:v>5</x:v>
      </x:c>
    </x:row>
    <x:row r="182" ht="30" customHeight="1">
      <x:c r="A182" s="11" t="n">
        <x:f>RANK.EQ(G182,$G$2:$G$334,0)</x:f>
        <x:v>180</x:v>
      </x:c>
      <x:c r="B182" s="7" t="str">
        <x:v>LN-003</x:v>
      </x:c>
      <x:c r="C182" s="7" t="str">
        <x:v>LN</x:v>
      </x:c>
      <x:c r="D182" s="7" t="str">
        <x:v>A</x:v>
      </x:c>
      <x:c r="E182" s="8" t="str">
        <x:v>李宇哲</x:v>
      </x:c>
      <x:c r="F182" s="10" t="str">
        <x:v>辽宁省实验中学</x:v>
      </x:c>
      <x:c r="G182" s="12" t="n">
        <x:f>SUM(H182:J182)+K182</x:f>
        <x:v>409</x:v>
      </x:c>
      <x:c r="H182" s="12" t="n">
        <x:v>100</x:v>
      </x:c>
      <x:c r="I182" s="12" t="n">
        <x:v>176</x:v>
      </x:c>
      <x:c r="J182" s="12" t="n">
        <x:v>128</x:v>
      </x:c>
      <x:c r="K182" s="12" t="n">
        <x:f>IF(D182="A",5,0)</x:f>
        <x:v>5</x:v>
      </x:c>
    </x:row>
    <x:row r="183" ht="30" customHeight="1">
      <x:c r="A183" s="11" t="n">
        <x:f>RANK.EQ(G183,$G$2:$G$334,0)</x:f>
        <x:v>182</x:v>
      </x:c>
      <x:c r="B183" s="7" t="str">
        <x:v>HN-006</x:v>
      </x:c>
      <x:c r="C183" s="7" t="str">
        <x:v>HN</x:v>
      </x:c>
      <x:c r="D183" s="7" t="str">
        <x:v>B</x:v>
      </x:c>
      <x:c r="E183" s="8" t="str">
        <x:v>陈泓睿</x:v>
      </x:c>
      <x:c r="F183" s="10" t="str">
        <x:v>长沙市长郡中学</x:v>
      </x:c>
      <x:c r="G183" s="12" t="n">
        <x:f>SUM(H183:J183)+K183</x:f>
        <x:v>408</x:v>
      </x:c>
      <x:c r="H183" s="12" t="n">
        <x:v>100</x:v>
      </x:c>
      <x:c r="I183" s="12" t="n">
        <x:v>210</x:v>
      </x:c>
      <x:c r="J183" s="12" t="n">
        <x:v>98</x:v>
      </x:c>
      <x:c r="K183" s="12" t="n">
        <x:f>IF(D183="A",5,0)</x:f>
        <x:v>0</x:v>
      </x:c>
    </x:row>
    <x:row r="184" ht="30" customHeight="1">
      <x:c r="A184" s="11" t="n">
        <x:f>RANK.EQ(G184,$G$2:$G$334,0)</x:f>
        <x:v>183</x:v>
      </x:c>
      <x:c r="B184" s="7" t="str">
        <x:v>TJ-004</x:v>
      </x:c>
      <x:c r="C184" s="7" t="str">
        <x:v>TJ</x:v>
      </x:c>
      <x:c r="D184" s="7" t="str">
        <x:v>A</x:v>
      </x:c>
      <x:c r="E184" s="8" t="str">
        <x:v>夏星艺</x:v>
      </x:c>
      <x:c r="F184" s="10" t="str">
        <x:v>天津英华实验学校</x:v>
      </x:c>
      <x:c r="G184" s="12" t="n">
        <x:f>SUM(H184:J184)+K184</x:f>
        <x:v>406</x:v>
      </x:c>
      <x:c r="H184" s="12" t="n">
        <x:v>100</x:v>
      </x:c>
      <x:c r="I184" s="12" t="n">
        <x:v>173</x:v>
      </x:c>
      <x:c r="J184" s="12" t="n">
        <x:v>128</x:v>
      </x:c>
      <x:c r="K184" s="12" t="n">
        <x:f>IF(D184="A",5,0)</x:f>
        <x:v>5</x:v>
      </x:c>
    </x:row>
    <x:row r="185" ht="30" customHeight="1">
      <x:c r="A185" s="11" t="n">
        <x:f>RANK.EQ(G185,$G$2:$G$334,0)</x:f>
        <x:v>184</x:v>
      </x:c>
      <x:c r="B185" s="7" t="str">
        <x:v>GZ-003</x:v>
      </x:c>
      <x:c r="C185" s="7" t="str">
        <x:v>GZ</x:v>
      </x:c>
      <x:c r="D185" s="7" t="str">
        <x:v>A</x:v>
      </x:c>
      <x:c r="E185" s="8" t="str">
        <x:v>丁思源</x:v>
      </x:c>
      <x:c r="F185" s="10" t="str">
        <x:v>贵阳市华师一学校</x:v>
      </x:c>
      <x:c r="G185" s="12" t="n">
        <x:f>SUM(H185:J185)+K185</x:f>
        <x:v>404</x:v>
      </x:c>
      <x:c r="H185" s="12" t="n">
        <x:v>100</x:v>
      </x:c>
      <x:c r="I185" s="12" t="n">
        <x:v>179</x:v>
      </x:c>
      <x:c r="J185" s="12" t="n">
        <x:v>120</x:v>
      </x:c>
      <x:c r="K185" s="12" t="n">
        <x:f>IF(D185="A",5,0)</x:f>
        <x:v>5</x:v>
      </x:c>
    </x:row>
    <x:row r="186" ht="30" customHeight="1">
      <x:c r="A186" s="11" t="n">
        <x:f>RANK.EQ(G186,$G$2:$G$334,0)</x:f>
        <x:v>185</x:v>
      </x:c>
      <x:c r="B186" s="7" t="str">
        <x:v>SD-023</x:v>
      </x:c>
      <x:c r="C186" s="7" t="str">
        <x:v>SD</x:v>
      </x:c>
      <x:c r="D186" s="7" t="str">
        <x:v>B</x:v>
      </x:c>
      <x:c r="E186" s="8" t="str">
        <x:v>胡扬</x:v>
      </x:c>
      <x:c r="F186" s="10" t="str">
        <x:v>烟台青华中学</x:v>
      </x:c>
      <x:c r="G186" s="12" t="n">
        <x:f>SUM(H186:J186)+K186</x:f>
        <x:v>403</x:v>
      </x:c>
      <x:c r="H186" s="12" t="n">
        <x:v>100</x:v>
      </x:c>
      <x:c r="I186" s="12" t="n">
        <x:v>175</x:v>
      </x:c>
      <x:c r="J186" s="12" t="n">
        <x:v>128</x:v>
      </x:c>
      <x:c r="K186" s="12" t="n">
        <x:f>IF(D186="A",5,0)</x:f>
        <x:v>0</x:v>
      </x:c>
    </x:row>
    <x:row r="187" ht="30" customHeight="1">
      <x:c r="A187" s="11" t="n">
        <x:f>RANK.EQ(G187,$G$2:$G$334,0)</x:f>
        <x:v>186</x:v>
      </x:c>
      <x:c r="B187" s="7" t="str">
        <x:v>JS-015</x:v>
      </x:c>
      <x:c r="C187" s="7" t="str">
        <x:v>JS</x:v>
      </x:c>
      <x:c r="D187" s="7" t="str">
        <x:v>B</x:v>
      </x:c>
      <x:c r="E187" s="8" t="str">
        <x:v>王子帆</x:v>
      </x:c>
      <x:c r="F187" s="10" t="str">
        <x:v>南京外国语学校仙林分校</x:v>
      </x:c>
      <x:c r="G187" s="12" t="n">
        <x:f>SUM(H187:J187)+K187</x:f>
        <x:v>402</x:v>
      </x:c>
      <x:c r="H187" s="12" t="n">
        <x:v>100</x:v>
      </x:c>
      <x:c r="I187" s="12" t="n">
        <x:v>222</x:v>
      </x:c>
      <x:c r="J187" s="12" t="n">
        <x:v>80</x:v>
      </x:c>
      <x:c r="K187" s="12" t="n">
        <x:f>IF(D187="A",5,0)</x:f>
        <x:v>0</x:v>
      </x:c>
    </x:row>
    <x:row r="188" ht="30" customHeight="1">
      <x:c r="A188" s="11" t="n">
        <x:f>RANK.EQ(G188,$G$2:$G$334,0)</x:f>
        <x:v>187</x:v>
      </x:c>
      <x:c r="B188" s="7" t="str">
        <x:v>GX-004</x:v>
      </x:c>
      <x:c r="C188" s="7" t="str">
        <x:v>GX</x:v>
      </x:c>
      <x:c r="D188" s="7" t="str">
        <x:v>A</x:v>
      </x:c>
      <x:c r="E188" s="8" t="str">
        <x:v>黄梓硕</x:v>
      </x:c>
      <x:c r="F188" s="10" t="str">
        <x:v>柳州高级中学</x:v>
      </x:c>
      <x:c r="G188" s="12" t="n">
        <x:f>SUM(H188:J188)+K188</x:f>
        <x:v>401</x:v>
      </x:c>
      <x:c r="H188" s="12" t="n">
        <x:v>100</x:v>
      </x:c>
      <x:c r="I188" s="12" t="n">
        <x:v>191</x:v>
      </x:c>
      <x:c r="J188" s="12" t="n">
        <x:v>105</x:v>
      </x:c>
      <x:c r="K188" s="12" t="n">
        <x:f>IF(D188="A",5,0)</x:f>
        <x:v>5</x:v>
      </x:c>
    </x:row>
    <x:row r="189" ht="30" customHeight="1">
      <x:c r="A189" s="11" t="n">
        <x:f>RANK.EQ(G189,$G$2:$G$334,0)</x:f>
        <x:v>187</x:v>
      </x:c>
      <x:c r="B189" s="7" t="str">
        <x:v>SD-006</x:v>
      </x:c>
      <x:c r="C189" s="7" t="str">
        <x:v>SD</x:v>
      </x:c>
      <x:c r="D189" s="7" t="str">
        <x:v>A</x:v>
      </x:c>
      <x:c r="E189" s="8" t="str">
        <x:v>颜庭泽</x:v>
      </x:c>
      <x:c r="F189" s="10" t="str">
        <x:v>青岛市城阳第一高级中学</x:v>
      </x:c>
      <x:c r="G189" s="12" t="n">
        <x:f>SUM(H189:J189)+K189</x:f>
        <x:v>401</x:v>
      </x:c>
      <x:c r="H189" s="12" t="n">
        <x:v>100</x:v>
      </x:c>
      <x:c r="I189" s="12" t="n">
        <x:v>164</x:v>
      </x:c>
      <x:c r="J189" s="12" t="n">
        <x:v>132</x:v>
      </x:c>
      <x:c r="K189" s="12" t="n">
        <x:f>IF(D189="A",5,0)</x:f>
        <x:v>5</x:v>
      </x:c>
    </x:row>
    <x:row r="190" ht="30" customHeight="1">
      <x:c r="A190" s="11" t="n">
        <x:f>RANK.EQ(G190,$G$2:$G$334,0)</x:f>
        <x:v>187</x:v>
      </x:c>
      <x:c r="B190" s="7" t="str">
        <x:v>SD-008</x:v>
      </x:c>
      <x:c r="C190" s="7" t="str">
        <x:v>SD</x:v>
      </x:c>
      <x:c r="D190" s="7" t="str">
        <x:v>A</x:v>
      </x:c>
      <x:c r="E190" s="8" t="str">
        <x:v>李宸朗</x:v>
      </x:c>
      <x:c r="F190" s="10" t="str">
        <x:v>青岛市城阳第一高级中学</x:v>
      </x:c>
      <x:c r="G190" s="12" t="n">
        <x:f>SUM(H190:J190)+K190</x:f>
        <x:v>401</x:v>
      </x:c>
      <x:c r="H190" s="12" t="n">
        <x:v>100</x:v>
      </x:c>
      <x:c r="I190" s="12" t="n">
        <x:v>176</x:v>
      </x:c>
      <x:c r="J190" s="12" t="n">
        <x:v>120</x:v>
      </x:c>
      <x:c r="K190" s="12" t="n">
        <x:f>IF(D190="A",5,0)</x:f>
        <x:v>5</x:v>
      </x:c>
    </x:row>
    <x:row r="191" ht="30" customHeight="1">
      <x:c r="A191" s="11" t="n">
        <x:f>RANK.EQ(G191,$G$2:$G$334,0)</x:f>
        <x:v>190</x:v>
      </x:c>
      <x:c r="B191" s="7" t="str">
        <x:v>AH-002</x:v>
      </x:c>
      <x:c r="C191" s="7" t="str">
        <x:v>AH</x:v>
      </x:c>
      <x:c r="D191" s="7" t="str">
        <x:v>A</x:v>
      </x:c>
      <x:c r="E191" s="8" t="str">
        <x:v>韩子墨</x:v>
      </x:c>
      <x:c r="F191" s="10" t="str">
        <x:v>安徽省铜陵市第一中学</x:v>
      </x:c>
      <x:c r="G191" s="12" t="n">
        <x:f>SUM(H191:J191)+K191</x:f>
        <x:v>400</x:v>
      </x:c>
      <x:c r="H191" s="12" t="n">
        <x:v>100</x:v>
      </x:c>
      <x:c r="I191" s="12" t="n">
        <x:v>167</x:v>
      </x:c>
      <x:c r="J191" s="12" t="n">
        <x:v>128</x:v>
      </x:c>
      <x:c r="K191" s="12" t="n">
        <x:f>IF(D191="A",5,0)</x:f>
        <x:v>5</x:v>
      </x:c>
    </x:row>
    <x:row r="192" ht="30" customHeight="1">
      <x:c r="A192" s="11" t="n">
        <x:f>RANK.EQ(G192,$G$2:$G$334,0)</x:f>
        <x:v>191</x:v>
      </x:c>
      <x:c r="B192" s="7" t="str">
        <x:v>HE-010</x:v>
      </x:c>
      <x:c r="C192" s="7" t="str">
        <x:v>HE</x:v>
      </x:c>
      <x:c r="D192" s="7" t="str">
        <x:v>B</x:v>
      </x:c>
      <x:c r="E192" s="8" t="str">
        <x:v>霍丁恺</x:v>
      </x:c>
      <x:c r="F192" s="10" t="str">
        <x:v>石家庄二中实验学校</x:v>
      </x:c>
      <x:c r="G192" s="12" t="n">
        <x:f>SUM(H192:J192)+K192</x:f>
        <x:v>397</x:v>
      </x:c>
      <x:c r="H192" s="12" t="n">
        <x:v>100</x:v>
      </x:c>
      <x:c r="I192" s="12" t="n">
        <x:v>194</x:v>
      </x:c>
      <x:c r="J192" s="12" t="n">
        <x:v>103</x:v>
      </x:c>
      <x:c r="K192" s="12" t="n">
        <x:f>IF(D192="A",5,0)</x:f>
        <x:v>0</x:v>
      </x:c>
    </x:row>
    <x:row r="193" ht="30" customHeight="1">
      <x:c r="A193" s="11" t="n">
        <x:f>RANK.EQ(G193,$G$2:$G$334,0)</x:f>
        <x:v>191</x:v>
      </x:c>
      <x:c r="B193" s="7" t="str">
        <x:v>SD-017</x:v>
      </x:c>
      <x:c r="C193" s="7" t="str">
        <x:v>SD</x:v>
      </x:c>
      <x:c r="D193" s="7" t="str">
        <x:v>B</x:v>
      </x:c>
      <x:c r="E193" s="8" t="str">
        <x:v>胡淑杨</x:v>
      </x:c>
      <x:c r="F193" s="10" t="str">
        <x:v>东营市胜利第一中学</x:v>
      </x:c>
      <x:c r="G193" s="12" t="n">
        <x:f>SUM(H193:J193)+K193</x:f>
        <x:v>397</x:v>
      </x:c>
      <x:c r="H193" s="12" t="n">
        <x:v>100</x:v>
      </x:c>
      <x:c r="I193" s="12" t="n">
        <x:v>165</x:v>
      </x:c>
      <x:c r="J193" s="12" t="n">
        <x:v>132</x:v>
      </x:c>
      <x:c r="K193" s="12" t="n">
        <x:f>IF(D193="A",5,0)</x:f>
        <x:v>0</x:v>
      </x:c>
    </x:row>
    <x:row r="194" ht="30" customHeight="1">
      <x:c r="A194" s="11" t="n">
        <x:f>RANK.EQ(G194,$G$2:$G$334,0)</x:f>
        <x:v>193</x:v>
      </x:c>
      <x:c r="B194" s="7" t="str">
        <x:v>SD-016</x:v>
      </x:c>
      <x:c r="C194" s="7" t="str">
        <x:v>SD</x:v>
      </x:c>
      <x:c r="D194" s="7" t="str">
        <x:v>B</x:v>
      </x:c>
      <x:c r="E194" s="8" t="str">
        <x:v>贺钰书</x:v>
      </x:c>
      <x:c r="F194" s="10" t="str">
        <x:v>山东省青岛第二中学</x:v>
      </x:c>
      <x:c r="G194" s="12" t="n">
        <x:f>SUM(H194:J194)+K194</x:f>
        <x:v>396</x:v>
      </x:c>
      <x:c r="H194" s="12" t="n">
        <x:v>100</x:v>
      </x:c>
      <x:c r="I194" s="12" t="n">
        <x:v>176</x:v>
      </x:c>
      <x:c r="J194" s="12" t="n">
        <x:v>120</x:v>
      </x:c>
      <x:c r="K194" s="12" t="n">
        <x:f>IF(D194="A",5,0)</x:f>
        <x:v>0</x:v>
      </x:c>
    </x:row>
    <x:row r="195" ht="30" customHeight="1">
      <x:c r="A195" s="11" t="n">
        <x:f>RANK.EQ(G195,$G$2:$G$334,0)</x:f>
        <x:v>193</x:v>
      </x:c>
      <x:c r="B195" s="7" t="str">
        <x:v>YN-001</x:v>
      </x:c>
      <x:c r="C195" s="7" t="str">
        <x:v>YN</x:v>
      </x:c>
      <x:c r="D195" s="7" t="str">
        <x:v>A</x:v>
      </x:c>
      <x:c r="E195" s="8" t="str">
        <x:v>姜俊衔</x:v>
      </x:c>
      <x:c r="F195" s="10" t="str">
        <x:v>云南师范大学附属中学</x:v>
      </x:c>
      <x:c r="G195" s="12" t="n">
        <x:f>SUM(H195:J195)+K195</x:f>
        <x:v>396</x:v>
      </x:c>
      <x:c r="H195" s="12" t="n">
        <x:v>100</x:v>
      </x:c>
      <x:c r="I195" s="12" t="n">
        <x:v>193</x:v>
      </x:c>
      <x:c r="J195" s="12" t="n">
        <x:v>98</x:v>
      </x:c>
      <x:c r="K195" s="12" t="n">
        <x:f>IF(D195="A",5,0)</x:f>
        <x:v>5</x:v>
      </x:c>
    </x:row>
    <x:row r="196" ht="30" customHeight="1">
      <x:c r="A196" s="11" t="n">
        <x:f>RANK.EQ(G196,$G$2:$G$334,0)</x:f>
        <x:v>195</x:v>
      </x:c>
      <x:c r="B196" s="7" t="str">
        <x:v>HA-008</x:v>
      </x:c>
      <x:c r="C196" s="7" t="str">
        <x:v>HA</x:v>
      </x:c>
      <x:c r="D196" s="7" t="str">
        <x:v>B</x:v>
      </x:c>
      <x:c r="E196" s="8" t="str">
        <x:v>朱轩皞</x:v>
      </x:c>
      <x:c r="F196" s="10" t="str">
        <x:v>郑州市第一中学</x:v>
      </x:c>
      <x:c r="G196" s="12" t="n">
        <x:f>SUM(H196:J196)+K196</x:f>
        <x:v>395</x:v>
      </x:c>
      <x:c r="H196" s="12" t="n">
        <x:v>100</x:v>
      </x:c>
      <x:c r="I196" s="12" t="n">
        <x:v>163</x:v>
      </x:c>
      <x:c r="J196" s="12" t="n">
        <x:v>132</x:v>
      </x:c>
      <x:c r="K196" s="12" t="n">
        <x:f>IF(D196="A",5,0)</x:f>
        <x:v>0</x:v>
      </x:c>
    </x:row>
    <x:row r="197" ht="30" customHeight="1">
      <x:c r="A197" s="11" t="n">
        <x:f>RANK.EQ(G197,$G$2:$G$334,0)</x:f>
        <x:v>195</x:v>
      </x:c>
      <x:c r="B197" s="7" t="str">
        <x:v>SN-007</x:v>
      </x:c>
      <x:c r="C197" s="7" t="str">
        <x:v>SN</x:v>
      </x:c>
      <x:c r="D197" s="7" t="str">
        <x:v>B</x:v>
      </x:c>
      <x:c r="E197" s="8" t="str">
        <x:v>刘昱合</x:v>
      </x:c>
      <x:c r="F197" s="10" t="str">
        <x:v>西安高新一中沣东中学</x:v>
      </x:c>
      <x:c r="G197" s="12" t="n">
        <x:f>SUM(H197:J197)+K197</x:f>
        <x:v>395</x:v>
      </x:c>
      <x:c r="H197" s="12" t="n">
        <x:v>100</x:v>
      </x:c>
      <x:c r="I197" s="12" t="n">
        <x:v>167</x:v>
      </x:c>
      <x:c r="J197" s="12" t="n">
        <x:v>128</x:v>
      </x:c>
      <x:c r="K197" s="12" t="n">
        <x:f>IF(D197="A",5,0)</x:f>
        <x:v>0</x:v>
      </x:c>
    </x:row>
    <x:row r="198" ht="30" customHeight="1">
      <x:c r="A198" s="11" t="n">
        <x:f>RANK.EQ(G198,$G$2:$G$334,0)</x:f>
        <x:v>195</x:v>
      </x:c>
      <x:c r="B198" s="7" t="str">
        <x:v>SX-001</x:v>
      </x:c>
      <x:c r="C198" s="7" t="str">
        <x:v>SX</x:v>
      </x:c>
      <x:c r="D198" s="7" t="str">
        <x:v>A</x:v>
      </x:c>
      <x:c r="E198" s="8" t="str">
        <x:v>李钰涵</x:v>
      </x:c>
      <x:c r="F198" s="10" t="str">
        <x:v>山西大学附属中学校</x:v>
      </x:c>
      <x:c r="G198" s="12" t="n">
        <x:f>SUM(H198:J198)+K198</x:f>
        <x:v>395</x:v>
      </x:c>
      <x:c r="H198" s="12" t="n">
        <x:v>100</x:v>
      </x:c>
      <x:c r="I198" s="12" t="n">
        <x:v>154</x:v>
      </x:c>
      <x:c r="J198" s="12" t="n">
        <x:v>136</x:v>
      </x:c>
      <x:c r="K198" s="12" t="n">
        <x:f>IF(D198="A",5,0)</x:f>
        <x:v>5</x:v>
      </x:c>
    </x:row>
    <x:row r="199" ht="30" customHeight="1">
      <x:c r="A199" s="11" t="n">
        <x:f>RANK.EQ(G199,$G$2:$G$334,0)</x:f>
        <x:v>198</x:v>
      </x:c>
      <x:c r="B199" s="7" t="str">
        <x:v>BJ-009</x:v>
      </x:c>
      <x:c r="C199" s="7" t="str">
        <x:v>BJ</x:v>
      </x:c>
      <x:c r="D199" s="7" t="str">
        <x:v>B</x:v>
      </x:c>
      <x:c r="E199" s="8" t="str">
        <x:v>王心怡</x:v>
      </x:c>
      <x:c r="F199" s="10" t="str">
        <x:v>北京大学附属中学</x:v>
      </x:c>
      <x:c r="G199" s="12" t="n">
        <x:f>SUM(H199:J199)+K199</x:f>
        <x:v>394</x:v>
      </x:c>
      <x:c r="H199" s="12" t="n">
        <x:v>100</x:v>
      </x:c>
      <x:c r="I199" s="12" t="n">
        <x:v>171</x:v>
      </x:c>
      <x:c r="J199" s="12" t="n">
        <x:v>123</x:v>
      </x:c>
      <x:c r="K199" s="12" t="n">
        <x:f>IF(D199="A",5,0)</x:f>
        <x:v>0</x:v>
      </x:c>
    </x:row>
    <x:row r="200" ht="30" customHeight="1">
      <x:c r="A200" s="11" t="n">
        <x:f>RANK.EQ(G200,$G$2:$G$334,0)</x:f>
        <x:v>198</x:v>
      </x:c>
      <x:c r="B200" s="7" t="str">
        <x:v>BJ-016</x:v>
      </x:c>
      <x:c r="C200" s="7" t="str">
        <x:v>BJ</x:v>
      </x:c>
      <x:c r="D200" s="7" t="str">
        <x:v>B</x:v>
      </x:c>
      <x:c r="E200" s="8" t="str">
        <x:v>田滨诚</x:v>
      </x:c>
      <x:c r="F200" s="10" t="str">
        <x:v>清华大学附属中学将台路校区</x:v>
      </x:c>
      <x:c r="G200" s="12" t="n">
        <x:f>SUM(H200:J200)+K200</x:f>
        <x:v>394</x:v>
      </x:c>
      <x:c r="H200" s="12" t="n">
        <x:v>100</x:v>
      </x:c>
      <x:c r="I200" s="12" t="n">
        <x:v>174</x:v>
      </x:c>
      <x:c r="J200" s="12" t="n">
        <x:v>120</x:v>
      </x:c>
      <x:c r="K200" s="12" t="n">
        <x:f>IF(D200="A",5,0)</x:f>
        <x:v>0</x:v>
      </x:c>
    </x:row>
    <x:row r="201" ht="30" customHeight="1">
      <x:c r="A201" s="11" t="n">
        <x:f>RANK.EQ(G201,$G$2:$G$334,0)</x:f>
        <x:v>198</x:v>
      </x:c>
      <x:c r="B201" s="7" t="str">
        <x:v>FJ-014</x:v>
      </x:c>
      <x:c r="C201" s="7" t="str">
        <x:v>FJ</x:v>
      </x:c>
      <x:c r="D201" s="7" t="str">
        <x:v>B</x:v>
      </x:c>
      <x:c r="E201" s="8" t="str">
        <x:v>吴凯晨</x:v>
      </x:c>
      <x:c r="F201" s="10" t="str">
        <x:v>福建省福清第一中学</x:v>
      </x:c>
      <x:c r="G201" s="12" t="n">
        <x:f>SUM(H201:J201)+K201</x:f>
        <x:v>394</x:v>
      </x:c>
      <x:c r="H201" s="12" t="n">
        <x:v>100</x:v>
      </x:c>
      <x:c r="I201" s="12" t="n">
        <x:v>162</x:v>
      </x:c>
      <x:c r="J201" s="12" t="n">
        <x:v>132</x:v>
      </x:c>
      <x:c r="K201" s="12" t="n">
        <x:f>IF(D201="A",5,0)</x:f>
        <x:v>0</x:v>
      </x:c>
    </x:row>
    <x:row r="202" ht="30" customHeight="1">
      <x:c r="A202" s="11" t="n">
        <x:f>RANK.EQ(G202,$G$2:$G$334,0)</x:f>
        <x:v>201</x:v>
      </x:c>
      <x:c r="B202" s="7" t="str">
        <x:v>CQ-010</x:v>
      </x:c>
      <x:c r="C202" s="7" t="str">
        <x:v>CQ</x:v>
      </x:c>
      <x:c r="D202" s="7" t="str">
        <x:v>B</x:v>
      </x:c>
      <x:c r="E202" s="8" t="str">
        <x:v>彭彦桐</x:v>
      </x:c>
      <x:c r="F202" s="10" t="str">
        <x:v>重庆市第八中学校</x:v>
      </x:c>
      <x:c r="G202" s="12" t="n">
        <x:f>SUM(H202:J202)+K202</x:f>
        <x:v>393</x:v>
      </x:c>
      <x:c r="H202" s="12" t="n">
        <x:v>100</x:v>
      </x:c>
      <x:c r="I202" s="12" t="n">
        <x:v>185</x:v>
      </x:c>
      <x:c r="J202" s="12" t="n">
        <x:v>108</x:v>
      </x:c>
      <x:c r="K202" s="12" t="n">
        <x:f>IF(D202="A",5,0)</x:f>
        <x:v>0</x:v>
      </x:c>
    </x:row>
    <x:row r="203" ht="30" customHeight="1">
      <x:c r="A203" s="11" t="n">
        <x:f>RANK.EQ(G203,$G$2:$G$334,0)</x:f>
        <x:v>201</x:v>
      </x:c>
      <x:c r="B203" s="7" t="str">
        <x:v>JX-003</x:v>
      </x:c>
      <x:c r="C203" s="7" t="str">
        <x:v>JX</x:v>
      </x:c>
      <x:c r="D203" s="7" t="str">
        <x:v>A</x:v>
      </x:c>
      <x:c r="E203" s="8" t="str">
        <x:v>廖泽凯</x:v>
      </x:c>
      <x:c r="F203" s="10" t="str">
        <x:v>赣州市第三中学</x:v>
      </x:c>
      <x:c r="G203" s="12" t="n">
        <x:f>SUM(H203:J203)+K203</x:f>
        <x:v>393</x:v>
      </x:c>
      <x:c r="H203" s="12" t="n">
        <x:v>100</x:v>
      </x:c>
      <x:c r="I203" s="12" t="n">
        <x:v>157</x:v>
      </x:c>
      <x:c r="J203" s="12" t="n">
        <x:v>131</x:v>
      </x:c>
      <x:c r="K203" s="12" t="n">
        <x:f>IF(D203="A",5,0)</x:f>
        <x:v>5</x:v>
      </x:c>
    </x:row>
    <x:row r="204" ht="30" customHeight="1">
      <x:c r="A204" s="11" t="n">
        <x:f>RANK.EQ(G204,$G$2:$G$334,0)</x:f>
        <x:v>203</x:v>
      </x:c>
      <x:c r="B204" s="7" t="str">
        <x:v>HB-006</x:v>
      </x:c>
      <x:c r="C204" s="7" t="str">
        <x:v>HB</x:v>
      </x:c>
      <x:c r="D204" s="7" t="str">
        <x:v>B</x:v>
      </x:c>
      <x:c r="E204" s="8" t="str">
        <x:v>李霈然</x:v>
      </x:c>
      <x:c r="F204" s="10" t="str">
        <x:v>武汉经开外国语高级中学</x:v>
      </x:c>
      <x:c r="G204" s="12" t="n">
        <x:f>SUM(H204:J204)+K204</x:f>
        <x:v>392</x:v>
      </x:c>
      <x:c r="H204" s="12" t="n">
        <x:v>100</x:v>
      </x:c>
      <x:c r="I204" s="12" t="n">
        <x:v>160</x:v>
      </x:c>
      <x:c r="J204" s="12" t="n">
        <x:v>132</x:v>
      </x:c>
      <x:c r="K204" s="12" t="n">
        <x:f>IF(D204="A",5,0)</x:f>
        <x:v>0</x:v>
      </x:c>
    </x:row>
    <x:row r="205" ht="30" customHeight="1">
      <x:c r="A205" s="11" t="n">
        <x:f>RANK.EQ(G205,$G$2:$G$334,0)</x:f>
        <x:v>203</x:v>
      </x:c>
      <x:c r="B205" s="7" t="str">
        <x:v>SC-010</x:v>
      </x:c>
      <x:c r="C205" s="7" t="str">
        <x:v>SC</x:v>
      </x:c>
      <x:c r="D205" s="7" t="str">
        <x:v>B</x:v>
      </x:c>
      <x:c r="E205" s="8" t="str">
        <x:v>孙邦博</x:v>
      </x:c>
      <x:c r="F205" s="10" t="str">
        <x:v>乐山高新区嘉祥外国语学校</x:v>
      </x:c>
      <x:c r="G205" s="12" t="n">
        <x:f>SUM(H205:J205)+K205</x:f>
        <x:v>392</x:v>
      </x:c>
      <x:c r="H205" s="12" t="n">
        <x:v>100</x:v>
      </x:c>
      <x:c r="I205" s="12" t="n">
        <x:v>193</x:v>
      </x:c>
      <x:c r="J205" s="12" t="n">
        <x:v>99</x:v>
      </x:c>
      <x:c r="K205" s="12" t="n">
        <x:f>IF(D205="A",5,0)</x:f>
        <x:v>0</x:v>
      </x:c>
    </x:row>
    <x:row r="206" ht="30" customHeight="1">
      <x:c r="A206" s="11" t="n">
        <x:f>RANK.EQ(G206,$G$2:$G$334,0)</x:f>
        <x:v>205</x:v>
      </x:c>
      <x:c r="B206" s="7" t="str">
        <x:v>AH-008</x:v>
      </x:c>
      <x:c r="C206" s="7" t="str">
        <x:v>AH</x:v>
      </x:c>
      <x:c r="D206" s="7" t="str">
        <x:v>B</x:v>
      </x:c>
      <x:c r="E206" s="8" t="str">
        <x:v>程竹</x:v>
      </x:c>
      <x:c r="F206" s="10" t="str">
        <x:v>合肥一六八中学</x:v>
      </x:c>
      <x:c r="G206" s="12" t="n">
        <x:f>SUM(H206:J206)+K206</x:f>
        <x:v>390</x:v>
      </x:c>
      <x:c r="H206" s="12" t="n">
        <x:v>100</x:v>
      </x:c>
      <x:c r="I206" s="12" t="n">
        <x:v>158</x:v>
      </x:c>
      <x:c r="J206" s="12" t="n">
        <x:v>132</x:v>
      </x:c>
      <x:c r="K206" s="12" t="n">
        <x:f>IF(D206="A",5,0)</x:f>
        <x:v>0</x:v>
      </x:c>
    </x:row>
    <x:row r="207" ht="30" customHeight="1">
      <x:c r="A207" s="11" t="n">
        <x:f>RANK.EQ(G207,$G$2:$G$334,0)</x:f>
        <x:v>206</x:v>
      </x:c>
      <x:c r="B207" s="7" t="str">
        <x:v>JS-019</x:v>
      </x:c>
      <x:c r="C207" s="7" t="str">
        <x:v>JS</x:v>
      </x:c>
      <x:c r="D207" s="7" t="str">
        <x:v>B</x:v>
      </x:c>
      <x:c r="E207" s="8" t="str">
        <x:v>陈煜轩</x:v>
      </x:c>
      <x:c r="F207" s="10" t="str">
        <x:v>江苏省锡山高级中学</x:v>
      </x:c>
      <x:c r="G207" s="12" t="n">
        <x:f>SUM(H207:J207)+K207</x:f>
        <x:v>389</x:v>
      </x:c>
      <x:c r="H207" s="12" t="n">
        <x:v>100</x:v>
      </x:c>
      <x:c r="I207" s="12" t="n">
        <x:v>179</x:v>
      </x:c>
      <x:c r="J207" s="12" t="n">
        <x:v>110</x:v>
      </x:c>
      <x:c r="K207" s="12" t="n">
        <x:f>IF(D207="A",5,0)</x:f>
        <x:v>0</x:v>
      </x:c>
    </x:row>
    <x:row r="208" ht="30" customHeight="1">
      <x:c r="A208" s="11" t="n">
        <x:f>RANK.EQ(G208,$G$2:$G$334,0)</x:f>
        <x:v>206</x:v>
      </x:c>
      <x:c r="B208" s="7" t="str">
        <x:v>JX-006</x:v>
      </x:c>
      <x:c r="C208" s="7" t="str">
        <x:v>JX</x:v>
      </x:c>
      <x:c r="D208" s="7" t="str">
        <x:v>B</x:v>
      </x:c>
      <x:c r="E208" s="8" t="str">
        <x:v>周沐瑞</x:v>
      </x:c>
      <x:c r="F208" s="10" t="str">
        <x:v>江西师范大学附属中学</x:v>
      </x:c>
      <x:c r="G208" s="12" t="n">
        <x:f>SUM(H208:J208)+K208</x:f>
        <x:v>389</x:v>
      </x:c>
      <x:c r="H208" s="12" t="n">
        <x:v>99</x:v>
      </x:c>
      <x:c r="I208" s="12" t="n">
        <x:v>170</x:v>
      </x:c>
      <x:c r="J208" s="12" t="n">
        <x:v>120</x:v>
      </x:c>
      <x:c r="K208" s="12" t="n">
        <x:f>IF(D208="A",5,0)</x:f>
        <x:v>0</x:v>
      </x:c>
    </x:row>
    <x:row r="209" ht="30" customHeight="1">
      <x:c r="A209" s="11" t="n">
        <x:f>RANK.EQ(G209,$G$2:$G$334,0)</x:f>
        <x:v>208</x:v>
      </x:c>
      <x:c r="B209" s="7" t="str">
        <x:v>LN-006</x:v>
      </x:c>
      <x:c r="C209" s="7" t="str">
        <x:v>LN</x:v>
      </x:c>
      <x:c r="D209" s="7" t="str">
        <x:v>B</x:v>
      </x:c>
      <x:c r="E209" s="8" t="str">
        <x:v>潘家益</x:v>
      </x:c>
      <x:c r="F209" s="10" t="str">
        <x:v>大连市第二十四中学金普学校</x:v>
      </x:c>
      <x:c r="G209" s="12" t="n">
        <x:f>SUM(H209:J209)+K209</x:f>
        <x:v>388</x:v>
      </x:c>
      <x:c r="H209" s="12" t="n">
        <x:v>100</x:v>
      </x:c>
      <x:c r="I209" s="12" t="n">
        <x:v>156</x:v>
      </x:c>
      <x:c r="J209" s="12" t="n">
        <x:v>132</x:v>
      </x:c>
      <x:c r="K209" s="12" t="n">
        <x:f>IF(D209="A",5,0)</x:f>
        <x:v>0</x:v>
      </x:c>
    </x:row>
    <x:row r="210" ht="30" customHeight="1">
      <x:c r="A210" s="11" t="n">
        <x:f>RANK.EQ(G210,$G$2:$G$334,0)</x:f>
        <x:v>209</x:v>
      </x:c>
      <x:c r="B210" s="7" t="str">
        <x:v>CQ-016</x:v>
      </x:c>
      <x:c r="C210" s="7" t="str">
        <x:v>CQ</x:v>
      </x:c>
      <x:c r="D210" s="7" t="str">
        <x:v>B</x:v>
      </x:c>
      <x:c r="E210" s="8" t="str">
        <x:v>曹瑞之</x:v>
      </x:c>
      <x:c r="F210" s="10" t="str">
        <x:v>重庆市育才中学校</x:v>
      </x:c>
      <x:c r="G210" s="12" t="n">
        <x:f>SUM(H210:J210)+K210</x:f>
        <x:v>387</x:v>
      </x:c>
      <x:c r="H210" s="12" t="n">
        <x:v>100</x:v>
      </x:c>
      <x:c r="I210" s="12" t="n">
        <x:v>155</x:v>
      </x:c>
      <x:c r="J210" s="12" t="n">
        <x:v>132</x:v>
      </x:c>
      <x:c r="K210" s="12" t="n">
        <x:f>IF(D210="A",5,0)</x:f>
        <x:v>0</x:v>
      </x:c>
    </x:row>
    <x:row r="211" ht="30" customHeight="1">
      <x:c r="A211" s="11" t="n">
        <x:f>RANK.EQ(G211,$G$2:$G$334,0)</x:f>
        <x:v>209</x:v>
      </x:c>
      <x:c r="B211" s="7" t="str">
        <x:v>SN-008</x:v>
      </x:c>
      <x:c r="C211" s="7" t="str">
        <x:v>SN</x:v>
      </x:c>
      <x:c r="D211" s="7" t="str">
        <x:v>B</x:v>
      </x:c>
      <x:c r="E211" s="8" t="str">
        <x:v>史若瑜</x:v>
      </x:c>
      <x:c r="F211" s="10" t="str">
        <x:v>西安交通大学附属中学空港高级中学</x:v>
      </x:c>
      <x:c r="G211" s="12" t="n">
        <x:f>SUM(H211:J211)+K211</x:f>
        <x:v>387</x:v>
      </x:c>
      <x:c r="H211" s="12" t="n">
        <x:v>100</x:v>
      </x:c>
      <x:c r="I211" s="12" t="n">
        <x:v>177</x:v>
      </x:c>
      <x:c r="J211" s="12" t="n">
        <x:v>110</x:v>
      </x:c>
      <x:c r="K211" s="12" t="n">
        <x:f>IF(D211="A",5,0)</x:f>
        <x:v>0</x:v>
      </x:c>
    </x:row>
    <x:row r="212" ht="30" customHeight="1">
      <x:c r="A212" s="11" t="n">
        <x:f>RANK.EQ(G212,$G$2:$G$334,0)</x:f>
        <x:v>209</x:v>
      </x:c>
      <x:c r="B212" s="7" t="str">
        <x:v>XJ-001</x:v>
      </x:c>
      <x:c r="C212" s="7" t="str">
        <x:v>XJ</x:v>
      </x:c>
      <x:c r="D212" s="7" t="str">
        <x:v>A</x:v>
      </x:c>
      <x:c r="E212" s="8" t="str">
        <x:v>肖浩宇</x:v>
      </x:c>
      <x:c r="F212" s="10" t="str">
        <x:v>第二师华山中学</x:v>
      </x:c>
      <x:c r="G212" s="12" t="n">
        <x:f>SUM(H212:J212)+K212</x:f>
        <x:v>387</x:v>
      </x:c>
      <x:c r="H212" s="12" t="n">
        <x:v>100</x:v>
      </x:c>
      <x:c r="I212" s="12" t="n">
        <x:v>163</x:v>
      </x:c>
      <x:c r="J212" s="12" t="n">
        <x:v>119</x:v>
      </x:c>
      <x:c r="K212" s="12" t="n">
        <x:f>IF(D212="A",5,0)</x:f>
        <x:v>5</x:v>
      </x:c>
    </x:row>
    <x:row r="213" ht="30" customHeight="1">
      <x:c r="A213" s="11" t="n">
        <x:f>RANK.EQ(G213,$G$2:$G$334,0)</x:f>
        <x:v>212</x:v>
      </x:c>
      <x:c r="B213" s="7" t="str">
        <x:v>HA-009</x:v>
      </x:c>
      <x:c r="C213" s="7" t="str">
        <x:v>HA</x:v>
      </x:c>
      <x:c r="D213" s="7" t="str">
        <x:v>B</x:v>
      </x:c>
      <x:c r="E213" s="8" t="str">
        <x:v>申昊文</x:v>
      </x:c>
      <x:c r="F213" s="10" t="str">
        <x:v>郑州外国语新枫杨学校</x:v>
      </x:c>
      <x:c r="G213" s="12" t="n">
        <x:f>SUM(H213:J213)+K213</x:f>
        <x:v>384</x:v>
      </x:c>
      <x:c r="H213" s="12" t="n">
        <x:v>100</x:v>
      </x:c>
      <x:c r="I213" s="12" t="n">
        <x:v>164</x:v>
      </x:c>
      <x:c r="J213" s="12" t="n">
        <x:v>120</x:v>
      </x:c>
      <x:c r="K213" s="12" t="n">
        <x:f>IF(D213="A",5,0)</x:f>
        <x:v>0</x:v>
      </x:c>
    </x:row>
    <x:row r="214" ht="30" customHeight="1">
      <x:c r="A214" s="11" t="n">
        <x:f>RANK.EQ(G214,$G$2:$G$334,0)</x:f>
        <x:v>212</x:v>
      </x:c>
      <x:c r="B214" s="7" t="str">
        <x:v>SC-012</x:v>
      </x:c>
      <x:c r="C214" s="7" t="str">
        <x:v>SC</x:v>
      </x:c>
      <x:c r="D214" s="7" t="str">
        <x:v>B</x:v>
      </x:c>
      <x:c r="E214" s="8" t="str">
        <x:v>吴皓天</x:v>
      </x:c>
      <x:c r="F214" s="10" t="str">
        <x:v>四川省绵阳中学</x:v>
      </x:c>
      <x:c r="G214" s="12" t="n">
        <x:f>SUM(H214:J214)+K214</x:f>
        <x:v>384</x:v>
      </x:c>
      <x:c r="H214" s="12" t="n">
        <x:v>100</x:v>
      </x:c>
      <x:c r="I214" s="12" t="n">
        <x:v>173</x:v>
      </x:c>
      <x:c r="J214" s="12" t="n">
        <x:v>111</x:v>
      </x:c>
      <x:c r="K214" s="12" t="n">
        <x:f>IF(D214="A",5,0)</x:f>
        <x:v>0</x:v>
      </x:c>
    </x:row>
    <x:row r="215" ht="30" customHeight="1">
      <x:c r="A215" s="11" t="n">
        <x:f>RANK.EQ(G215,$G$2:$G$334,0)</x:f>
        <x:v>212</x:v>
      </x:c>
      <x:c r="B215" s="7" t="str">
        <x:v>SD-015</x:v>
      </x:c>
      <x:c r="C215" s="7" t="str">
        <x:v>SD</x:v>
      </x:c>
      <x:c r="D215" s="7" t="str">
        <x:v>B</x:v>
      </x:c>
      <x:c r="E215" s="8" t="str">
        <x:v>刘洪鑫</x:v>
      </x:c>
      <x:c r="F215" s="10" t="str">
        <x:v>山东省烟台第二中学</x:v>
      </x:c>
      <x:c r="G215" s="12" t="n">
        <x:f>SUM(H215:J215)+K215</x:f>
        <x:v>384</x:v>
      </x:c>
      <x:c r="H215" s="12" t="n">
        <x:v>100</x:v>
      </x:c>
      <x:c r="I215" s="12" t="n">
        <x:v>152</x:v>
      </x:c>
      <x:c r="J215" s="12" t="n">
        <x:v>132</x:v>
      </x:c>
      <x:c r="K215" s="12" t="n">
        <x:f>IF(D215="A",5,0)</x:f>
        <x:v>0</x:v>
      </x:c>
    </x:row>
    <x:row r="216" ht="30" customHeight="1">
      <x:c r="A216" s="11" t="n">
        <x:f>RANK.EQ(G216,$G$2:$G$334,0)</x:f>
        <x:v>215</x:v>
      </x:c>
      <x:c r="B216" s="7" t="str">
        <x:v>HE-008</x:v>
      </x:c>
      <x:c r="C216" s="7" t="str">
        <x:v>HE</x:v>
      </x:c>
      <x:c r="D216" s="7" t="str">
        <x:v>B</x:v>
      </x:c>
      <x:c r="E216" s="8" t="str">
        <x:v>金子植</x:v>
      </x:c>
      <x:c r="F216" s="10" t="str">
        <x:v>沧州市第一中学</x:v>
      </x:c>
      <x:c r="G216" s="12" t="n">
        <x:f>SUM(H216:J216)+K216</x:f>
        <x:v>383</x:v>
      </x:c>
      <x:c r="H216" s="12" t="n">
        <x:v>100</x:v>
      </x:c>
      <x:c r="I216" s="12" t="n">
        <x:v>163</x:v>
      </x:c>
      <x:c r="J216" s="12" t="n">
        <x:v>120</x:v>
      </x:c>
      <x:c r="K216" s="12" t="n">
        <x:f>IF(D216="A",5,0)</x:f>
        <x:v>0</x:v>
      </x:c>
    </x:row>
    <x:row r="217" ht="30" customHeight="1">
      <x:c r="A217" s="11" t="n">
        <x:f>RANK.EQ(G217,$G$2:$G$334,0)</x:f>
        <x:v>216</x:v>
      </x:c>
      <x:c r="B217" s="7" t="str">
        <x:v>LN-007</x:v>
      </x:c>
      <x:c r="C217" s="7" t="str">
        <x:v>LN</x:v>
      </x:c>
      <x:c r="D217" s="7" t="str">
        <x:v>B</x:v>
      </x:c>
      <x:c r="E217" s="8" t="str">
        <x:v>罗金阳</x:v>
      </x:c>
      <x:c r="F217" s="10" t="str">
        <x:v>本溪市高级中学</x:v>
      </x:c>
      <x:c r="G217" s="12" t="n">
        <x:f>SUM(H217:J217)+K217</x:f>
        <x:v>382</x:v>
      </x:c>
      <x:c r="H217" s="12" t="n">
        <x:v>100</x:v>
      </x:c>
      <x:c r="I217" s="12" t="n">
        <x:v>174</x:v>
      </x:c>
      <x:c r="J217" s="12" t="n">
        <x:v>108</x:v>
      </x:c>
      <x:c r="K217" s="12" t="n">
        <x:f>IF(D217="A",5,0)</x:f>
        <x:v>0</x:v>
      </x:c>
    </x:row>
    <x:row r="218" ht="30" customHeight="1">
      <x:c r="A218" s="11" t="n">
        <x:f>RANK.EQ(G218,$G$2:$G$334,0)</x:f>
        <x:v>216</x:v>
      </x:c>
      <x:c r="B218" s="7" t="str">
        <x:v>SD-010</x:v>
      </x:c>
      <x:c r="C218" s="7" t="str">
        <x:v>SD</x:v>
      </x:c>
      <x:c r="D218" s="7" t="str">
        <x:v>B</x:v>
      </x:c>
      <x:c r="E218" s="8" t="str">
        <x:v>郭炜丰</x:v>
      </x:c>
      <x:c r="F218" s="10" t="str">
        <x:v>山东省潍坊第一中学</x:v>
      </x:c>
      <x:c r="G218" s="12" t="n">
        <x:f>SUM(H218:J218)+K218</x:f>
        <x:v>382</x:v>
      </x:c>
      <x:c r="H218" s="12" t="n">
        <x:v>100</x:v>
      </x:c>
      <x:c r="I218" s="12" t="n">
        <x:v>159</x:v>
      </x:c>
      <x:c r="J218" s="12" t="n">
        <x:v>123</x:v>
      </x:c>
      <x:c r="K218" s="12" t="n">
        <x:f>IF(D218="A",5,0)</x:f>
        <x:v>0</x:v>
      </x:c>
    </x:row>
    <x:row r="219" ht="30" customHeight="1">
      <x:c r="A219" s="11" t="n">
        <x:f>RANK.EQ(G219,$G$2:$G$334,0)</x:f>
        <x:v>218</x:v>
      </x:c>
      <x:c r="B219" s="7" t="str">
        <x:v>CQ-015</x:v>
      </x:c>
      <x:c r="C219" s="7" t="str">
        <x:v>CQ</x:v>
      </x:c>
      <x:c r="D219" s="7" t="str">
        <x:v>B</x:v>
      </x:c>
      <x:c r="E219" s="8" t="str">
        <x:v>何宛轩</x:v>
      </x:c>
      <x:c r="F219" s="10" t="str">
        <x:v>重庆市巴蜀中学校</x:v>
      </x:c>
      <x:c r="G219" s="12" t="n">
        <x:f>SUM(H219:J219)+K219</x:f>
        <x:v>381</x:v>
      </x:c>
      <x:c r="H219" s="12" t="n">
        <x:v>100</x:v>
      </x:c>
      <x:c r="I219" s="12" t="n">
        <x:v>161</x:v>
      </x:c>
      <x:c r="J219" s="12" t="n">
        <x:v>120</x:v>
      </x:c>
      <x:c r="K219" s="12" t="n">
        <x:f>IF(D219="A",5,0)</x:f>
        <x:v>0</x:v>
      </x:c>
    </x:row>
    <x:row r="220" ht="30" customHeight="1">
      <x:c r="A220" s="11" t="n">
        <x:f>RANK.EQ(G220,$G$2:$G$334,0)</x:f>
        <x:v>218</x:v>
      </x:c>
      <x:c r="B220" s="7" t="str">
        <x:v>GD-013</x:v>
      </x:c>
      <x:c r="C220" s="7" t="str">
        <x:v>GD</x:v>
      </x:c>
      <x:c r="D220" s="7" t="str">
        <x:v>B</x:v>
      </x:c>
      <x:c r="E220" s="8" t="str">
        <x:v>周祎</x:v>
      </x:c>
      <x:c r="F220" s="10" t="str">
        <x:v>中山市中山纪念中学</x:v>
      </x:c>
      <x:c r="G220" s="12" t="n">
        <x:f>SUM(H220:J220)+K220</x:f>
        <x:v>381</x:v>
      </x:c>
      <x:c r="H220" s="12" t="n">
        <x:v>100</x:v>
      </x:c>
      <x:c r="I220" s="12" t="n">
        <x:v>158</x:v>
      </x:c>
      <x:c r="J220" s="12" t="n">
        <x:v>123</x:v>
      </x:c>
      <x:c r="K220" s="12" t="n">
        <x:f>IF(D220="A",5,0)</x:f>
        <x:v>0</x:v>
      </x:c>
    </x:row>
    <x:row r="221" ht="30" customHeight="1">
      <x:c r="A221" s="11" t="n">
        <x:f>RANK.EQ(G221,$G$2:$G$334,0)</x:f>
        <x:v>220</x:v>
      </x:c>
      <x:c r="B221" s="7" t="str">
        <x:v>CQ-009</x:v>
      </x:c>
      <x:c r="C221" s="7" t="str">
        <x:v>CQ</x:v>
      </x:c>
      <x:c r="D221" s="7" t="str">
        <x:v>B</x:v>
      </x:c>
      <x:c r="E221" s="8" t="str">
        <x:v>张齐松</x:v>
      </x:c>
      <x:c r="F221" s="10" t="str">
        <x:v>重庆市南开中学校</x:v>
      </x:c>
      <x:c r="G221" s="12" t="n">
        <x:f>SUM(H221:J221)+K221</x:f>
        <x:v>380</x:v>
      </x:c>
      <x:c r="H221" s="12" t="n">
        <x:v>99</x:v>
      </x:c>
      <x:c r="I221" s="12" t="n">
        <x:v>151</x:v>
      </x:c>
      <x:c r="J221" s="12" t="n">
        <x:v>130</x:v>
      </x:c>
      <x:c r="K221" s="12" t="n">
        <x:f>IF(D221="A",5,0)</x:f>
        <x:v>0</x:v>
      </x:c>
    </x:row>
    <x:row r="222" ht="30" customHeight="1">
      <x:c r="A222" s="11" t="n">
        <x:f>RANK.EQ(G222,$G$2:$G$334,0)</x:f>
        <x:v>220</x:v>
      </x:c>
      <x:c r="B222" s="7" t="str">
        <x:v>CQ-012</x:v>
      </x:c>
      <x:c r="C222" s="7" t="str">
        <x:v>CQ</x:v>
      </x:c>
      <x:c r="D222" s="7" t="str">
        <x:v>B</x:v>
      </x:c>
      <x:c r="E222" s="8" t="str">
        <x:v>陶治霖</x:v>
      </x:c>
      <x:c r="F222" s="10" t="str">
        <x:v>重庆市第八中学校</x:v>
      </x:c>
      <x:c r="G222" s="12" t="n">
        <x:f>SUM(H222:J222)+K222</x:f>
        <x:v>380</x:v>
      </x:c>
      <x:c r="H222" s="12" t="n">
        <x:v>100</x:v>
      </x:c>
      <x:c r="I222" s="12" t="n">
        <x:v>145</x:v>
      </x:c>
      <x:c r="J222" s="12" t="n">
        <x:v>135</x:v>
      </x:c>
      <x:c r="K222" s="12" t="n">
        <x:f>IF(D222="A",5,0)</x:f>
        <x:v>0</x:v>
      </x:c>
    </x:row>
    <x:row r="223" ht="30" customHeight="1">
      <x:c r="A223" s="11" t="n">
        <x:f>RANK.EQ(G223,$G$2:$G$334,0)</x:f>
        <x:v>220</x:v>
      </x:c>
      <x:c r="B223" s="7" t="str">
        <x:v>ZJ-019</x:v>
      </x:c>
      <x:c r="C223" s="7" t="str">
        <x:v>ZJ</x:v>
      </x:c>
      <x:c r="D223" s="7" t="str">
        <x:v>B</x:v>
      </x:c>
      <x:c r="E223" s="8" t="str">
        <x:v>黄晨熠</x:v>
      </x:c>
      <x:c r="F223" s="10" t="str">
        <x:v>绍兴市第一中学</x:v>
      </x:c>
      <x:c r="G223" s="12" t="n">
        <x:f>SUM(H223:J223)+K223</x:f>
        <x:v>380</x:v>
      </x:c>
      <x:c r="H223" s="12" t="n">
        <x:v>100</x:v>
      </x:c>
      <x:c r="I223" s="12" t="n">
        <x:v>156</x:v>
      </x:c>
      <x:c r="J223" s="12" t="n">
        <x:v>124</x:v>
      </x:c>
      <x:c r="K223" s="12" t="n">
        <x:f>IF(D223="A",5,0)</x:f>
        <x:v>0</x:v>
      </x:c>
    </x:row>
    <x:row r="224" ht="30" customHeight="1">
      <x:c r="A224" s="11" t="n">
        <x:f>RANK.EQ(G224,$G$2:$G$334,0)</x:f>
        <x:v>223</x:v>
      </x:c>
      <x:c r="B224" s="7" t="str">
        <x:v>HL-003</x:v>
      </x:c>
      <x:c r="C224" s="7" t="str">
        <x:v>HL</x:v>
      </x:c>
      <x:c r="D224" s="7" t="str">
        <x:v>A</x:v>
      </x:c>
      <x:c r="E224" s="8" t="str">
        <x:v>刘明轩</x:v>
      </x:c>
      <x:c r="F224" s="10" t="str">
        <x:v>大庆实验中学</x:v>
      </x:c>
      <x:c r="G224" s="12" t="n">
        <x:f>SUM(H224:J224)+K224</x:f>
        <x:v>379</x:v>
      </x:c>
      <x:c r="H224" s="12" t="n">
        <x:v>100</x:v>
      </x:c>
      <x:c r="I224" s="12" t="n">
        <x:v>168</x:v>
      </x:c>
      <x:c r="J224" s="12" t="n">
        <x:v>106</x:v>
      </x:c>
      <x:c r="K224" s="12" t="n">
        <x:f>IF(D224="A",5,0)</x:f>
        <x:v>5</x:v>
      </x:c>
    </x:row>
    <x:row r="225" ht="30" customHeight="1">
      <x:c r="A225" s="11" t="n">
        <x:f>RANK.EQ(G225,$G$2:$G$334,0)</x:f>
        <x:v>224</x:v>
      </x:c>
      <x:c r="B225" s="7" t="str">
        <x:v>JX-007</x:v>
      </x:c>
      <x:c r="C225" s="7" t="str">
        <x:v>JX</x:v>
      </x:c>
      <x:c r="D225" s="7" t="str">
        <x:v>B</x:v>
      </x:c>
      <x:c r="E225" s="8" t="str">
        <x:v>赖润泽</x:v>
      </x:c>
      <x:c r="F225" s="10" t="str">
        <x:v>赣州中学</x:v>
      </x:c>
      <x:c r="G225" s="12" t="n">
        <x:f>SUM(H225:J225)+K225</x:f>
        <x:v>378</x:v>
      </x:c>
      <x:c r="H225" s="12" t="n">
        <x:v>99</x:v>
      </x:c>
      <x:c r="I225" s="12" t="n">
        <x:v>151</x:v>
      </x:c>
      <x:c r="J225" s="12" t="n">
        <x:v>128</x:v>
      </x:c>
      <x:c r="K225" s="12" t="n">
        <x:f>IF(D225="A",5,0)</x:f>
        <x:v>0</x:v>
      </x:c>
    </x:row>
    <x:row r="226" ht="30" customHeight="1">
      <x:c r="A226" s="11" t="n">
        <x:f>RANK.EQ(G226,$G$2:$G$334,0)</x:f>
        <x:v>225</x:v>
      </x:c>
      <x:c r="B226" s="7" t="str">
        <x:v>SN-004</x:v>
      </x:c>
      <x:c r="C226" s="7" t="str">
        <x:v>SN</x:v>
      </x:c>
      <x:c r="D226" s="7" t="str">
        <x:v>A</x:v>
      </x:c>
      <x:c r="E226" s="8" t="str">
        <x:v>李东宸</x:v>
      </x:c>
      <x:c r="F226" s="10" t="str">
        <x:v>西安市铁一中学</x:v>
      </x:c>
      <x:c r="G226" s="12" t="n">
        <x:f>SUM(H226:J226)+K226</x:f>
        <x:v>375</x:v>
      </x:c>
      <x:c r="H226" s="12" t="n">
        <x:v>100</x:v>
      </x:c>
      <x:c r="I226" s="12" t="n">
        <x:v>176</x:v>
      </x:c>
      <x:c r="J226" s="12" t="n">
        <x:v>94</x:v>
      </x:c>
      <x:c r="K226" s="12" t="n">
        <x:f>IF(D226="A",5,0)</x:f>
        <x:v>5</x:v>
      </x:c>
    </x:row>
    <x:row r="227" ht="30" customHeight="1">
      <x:c r="A227" s="11" t="n">
        <x:f>RANK.EQ(G227,$G$2:$G$334,0)</x:f>
        <x:v>225</x:v>
      </x:c>
      <x:c r="B227" s="7" t="str">
        <x:v>XJ-002</x:v>
      </x:c>
      <x:c r="C227" s="7" t="str">
        <x:v>XJ</x:v>
      </x:c>
      <x:c r="D227" s="7" t="str">
        <x:v>A</x:v>
      </x:c>
      <x:c r="E227" s="8" t="str">
        <x:v>蒋乐陶</x:v>
      </x:c>
      <x:c r="F227" s="10" t="str">
        <x:v>乌鲁木齐市第一中学（绿谷校区高中部）</x:v>
      </x:c>
      <x:c r="G227" s="12" t="n">
        <x:f>SUM(H227:J227)+K227</x:f>
        <x:v>375</x:v>
      </x:c>
      <x:c r="H227" s="12" t="n">
        <x:v>100</x:v>
      </x:c>
      <x:c r="I227" s="12" t="n">
        <x:v>150</x:v>
      </x:c>
      <x:c r="J227" s="12" t="n">
        <x:v>120</x:v>
      </x:c>
      <x:c r="K227" s="12" t="n">
        <x:f>IF(D227="A",5,0)</x:f>
        <x:v>5</x:v>
      </x:c>
    </x:row>
    <x:row r="228" ht="30" customHeight="1">
      <x:c r="A228" s="11" t="n">
        <x:f>RANK.EQ(G228,$G$2:$G$334,0)</x:f>
        <x:v>227</x:v>
      </x:c>
      <x:c r="B228" s="7" t="str">
        <x:v>GX-006</x:v>
      </x:c>
      <x:c r="C228" s="7" t="str">
        <x:v>GX</x:v>
      </x:c>
      <x:c r="D228" s="7" t="str">
        <x:v>B</x:v>
      </x:c>
      <x:c r="E228" s="8" t="str">
        <x:v>汪恒毅</x:v>
      </x:c>
      <x:c r="F228" s="10" t="str">
        <x:v>南宁市第二中学</x:v>
      </x:c>
      <x:c r="G228" s="12" t="n">
        <x:f>SUM(H228:J228)+K228</x:f>
        <x:v>374</x:v>
      </x:c>
      <x:c r="H228" s="12" t="n">
        <x:v>100</x:v>
      </x:c>
      <x:c r="I228" s="12" t="n">
        <x:v>156</x:v>
      </x:c>
      <x:c r="J228" s="12" t="n">
        <x:v>118</x:v>
      </x:c>
      <x:c r="K228" s="12" t="n">
        <x:f>IF(D228="A",5,0)</x:f>
        <x:v>0</x:v>
      </x:c>
    </x:row>
    <x:row r="229" ht="30" customHeight="1">
      <x:c r="A229" s="11" t="n">
        <x:f>RANK.EQ(G229,$G$2:$G$334,0)</x:f>
        <x:v>228</x:v>
      </x:c>
      <x:c r="B229" s="7" t="str">
        <x:v>HE-007</x:v>
      </x:c>
      <x:c r="C229" s="7" t="str">
        <x:v>HE</x:v>
      </x:c>
      <x:c r="D229" s="7" t="str">
        <x:v>B</x:v>
      </x:c>
      <x:c r="E229" s="8" t="str">
        <x:v>王浩宇</x:v>
      </x:c>
      <x:c r="F229" s="10" t="str">
        <x:v>石家庄市第二中学</x:v>
      </x:c>
      <x:c r="G229" s="12" t="n">
        <x:f>SUM(H229:J229)+K229</x:f>
        <x:v>373</x:v>
      </x:c>
      <x:c r="H229" s="12" t="n">
        <x:v>100</x:v>
      </x:c>
      <x:c r="I229" s="12" t="n">
        <x:v>142</x:v>
      </x:c>
      <x:c r="J229" s="12" t="n">
        <x:v>131</x:v>
      </x:c>
      <x:c r="K229" s="12" t="n">
        <x:f>IF(D229="A",5,0)</x:f>
        <x:v>0</x:v>
      </x:c>
    </x:row>
    <x:row r="230" ht="30" customHeight="1">
      <x:c r="A230" s="11" t="n">
        <x:f>RANK.EQ(G230,$G$2:$G$334,0)</x:f>
        <x:v>229</x:v>
      </x:c>
      <x:c r="B230" s="7" t="str">
        <x:v>HE-009</x:v>
      </x:c>
      <x:c r="C230" s="7" t="str">
        <x:v>HE</x:v>
      </x:c>
      <x:c r="D230" s="7" t="str">
        <x:v>B</x:v>
      </x:c>
      <x:c r="E230" s="8" t="str">
        <x:v>边骏廷</x:v>
      </x:c>
      <x:c r="F230" s="10" t="str">
        <x:v>河北衡水中学</x:v>
      </x:c>
      <x:c r="G230" s="12" t="n">
        <x:f>SUM(H230:J230)+K230</x:f>
        <x:v>371</x:v>
      </x:c>
      <x:c r="H230" s="12" t="n">
        <x:v>100</x:v>
      </x:c>
      <x:c r="I230" s="12" t="n">
        <x:v>165</x:v>
      </x:c>
      <x:c r="J230" s="12" t="n">
        <x:v>106</x:v>
      </x:c>
      <x:c r="K230" s="12" t="n">
        <x:f>IF(D230="A",5,0)</x:f>
        <x:v>0</x:v>
      </x:c>
    </x:row>
    <x:row r="231" ht="30" customHeight="1">
      <x:c r="A231" s="11" t="n">
        <x:f>RANK.EQ(G231,$G$2:$G$334,0)</x:f>
        <x:v>230</x:v>
      </x:c>
      <x:c r="B231" s="7" t="str">
        <x:v>MO-001</x:v>
      </x:c>
      <x:c r="C231" s="7" t="str">
        <x:v>MO</x:v>
      </x:c>
      <x:c r="D231" s="7" t="str">
        <x:v>A</x:v>
      </x:c>
      <x:c r="E231" s="8" t="str">
        <x:v>鄧正浩</x:v>
      </x:c>
      <x:c r="F231" s="10" t="str">
        <x:v>濠江中學</x:v>
      </x:c>
      <x:c r="G231" s="12" t="n">
        <x:f>SUM(H231:J231)+K231</x:f>
        <x:v>368</x:v>
      </x:c>
      <x:c r="H231" s="12" t="n">
        <x:v>99</x:v>
      </x:c>
      <x:c r="I231" s="12" t="n">
        <x:v>170</x:v>
      </x:c>
      <x:c r="J231" s="12" t="n">
        <x:v>94</x:v>
      </x:c>
      <x:c r="K231" s="12" t="n">
        <x:f>IF(D231="A",5,0)</x:f>
        <x:v>5</x:v>
      </x:c>
    </x:row>
    <x:row r="232" ht="30" customHeight="1">
      <x:c r="A232" s="11" t="n">
        <x:f>RANK.EQ(G232,$G$2:$G$334,0)</x:f>
        <x:v>231</x:v>
      </x:c>
      <x:c r="B232" s="7" t="str">
        <x:v>HK-004</x:v>
      </x:c>
      <x:c r="C232" s="7" t="str">
        <x:v>HK</x:v>
      </x:c>
      <x:c r="D232" s="7" t="str">
        <x:v>A</x:v>
      </x:c>
      <x:c r="E232" s="8" t="str">
        <x:v>周界熹</x:v>
      </x:c>
      <x:c r="F232" s="10" t="str">
        <x:v>香港培正中學</x:v>
      </x:c>
      <x:c r="G232" s="12" t="n">
        <x:f>SUM(H232:J232)+K232</x:f>
        <x:v>366</x:v>
      </x:c>
      <x:c r="H232" s="12" t="n">
        <x:v>100</x:v>
      </x:c>
      <x:c r="I232" s="12" t="n">
        <x:v>176</x:v>
      </x:c>
      <x:c r="J232" s="12" t="n">
        <x:v>85</x:v>
      </x:c>
      <x:c r="K232" s="12" t="n">
        <x:f>IF(D232="A",5,0)</x:f>
        <x:v>5</x:v>
      </x:c>
    </x:row>
    <x:row r="233" ht="30" customHeight="1">
      <x:c r="A233" s="11" t="n">
        <x:f>RANK.EQ(G233,$G$2:$G$334,0)</x:f>
        <x:v>232</x:v>
      </x:c>
      <x:c r="B233" s="7" t="str">
        <x:v>HK-006</x:v>
      </x:c>
      <x:c r="C233" s="7" t="str">
        <x:v>HK</x:v>
      </x:c>
      <x:c r="D233" s="7" t="str">
        <x:v>B</x:v>
      </x:c>
      <x:c r="E233" s="8" t="str">
        <x:v>龍秉謙</x:v>
      </x:c>
      <x:c r="F233" s="10" t="str">
        <x:v>九龍華仁書院</x:v>
      </x:c>
      <x:c r="G233" s="12" t="n">
        <x:f>SUM(H233:J233)+K233</x:f>
        <x:v>365</x:v>
      </x:c>
      <x:c r="H233" s="12" t="n">
        <x:v>100</x:v>
      </x:c>
      <x:c r="I233" s="12" t="n">
        <x:v>166</x:v>
      </x:c>
      <x:c r="J233" s="12" t="n">
        <x:v>99</x:v>
      </x:c>
      <x:c r="K233" s="12" t="n">
        <x:f>IF(D233="A",5,0)</x:f>
        <x:v>0</x:v>
      </x:c>
    </x:row>
    <x:row r="234" ht="30" customHeight="1">
      <x:c r="A234" s="11" t="n">
        <x:f>RANK.EQ(G234,$G$2:$G$334,0)</x:f>
        <x:v>232</x:v>
      </x:c>
      <x:c r="B234" s="7" t="str">
        <x:v>SD-007</x:v>
      </x:c>
      <x:c r="C234" s="7" t="str">
        <x:v>SD</x:v>
      </x:c>
      <x:c r="D234" s="7" t="str">
        <x:v>A</x:v>
      </x:c>
      <x:c r="E234" s="8" t="str">
        <x:v>梁钰涵</x:v>
      </x:c>
      <x:c r="F234" s="10" t="str">
        <x:v>青岛市城阳第一高级中学</x:v>
      </x:c>
      <x:c r="G234" s="12" t="n">
        <x:f>SUM(H234:J234)+K234</x:f>
        <x:v>365</x:v>
      </x:c>
      <x:c r="H234" s="12" t="n">
        <x:v>100</x:v>
      </x:c>
      <x:c r="I234" s="12" t="n">
        <x:v>140</x:v>
      </x:c>
      <x:c r="J234" s="12" t="n">
        <x:v>120</x:v>
      </x:c>
      <x:c r="K234" s="12" t="n">
        <x:f>IF(D234="A",5,0)</x:f>
        <x:v>5</x:v>
      </x:c>
    </x:row>
    <x:row r="235" ht="30" customHeight="1">
      <x:c r="A235" s="11" t="n">
        <x:f>RANK.EQ(G235,$G$2:$G$334,0)</x:f>
        <x:v>234</x:v>
      </x:c>
      <x:c r="B235" s="7" t="str">
        <x:v>JL-004</x:v>
      </x:c>
      <x:c r="C235" s="7" t="str">
        <x:v>JL</x:v>
      </x:c>
      <x:c r="D235" s="7" t="str">
        <x:v>A</x:v>
      </x:c>
      <x:c r="E235" s="8" t="str">
        <x:v>董谨榕</x:v>
      </x:c>
      <x:c r="F235" s="10" t="str">
        <x:v>长春东师附中青华学校</x:v>
      </x:c>
      <x:c r="G235" s="12" t="n">
        <x:f>SUM(H235:J235)+K235</x:f>
        <x:v>364</x:v>
      </x:c>
      <x:c r="H235" s="12" t="n">
        <x:v>99</x:v>
      </x:c>
      <x:c r="I235" s="12" t="n">
        <x:v>140</x:v>
      </x:c>
      <x:c r="J235" s="12" t="n">
        <x:v>120</x:v>
      </x:c>
      <x:c r="K235" s="12" t="n">
        <x:f>IF(D235="A",5,0)</x:f>
        <x:v>5</x:v>
      </x:c>
    </x:row>
    <x:row r="236" ht="30" customHeight="1">
      <x:c r="A236" s="11" t="n">
        <x:f>RANK.EQ(G236,$G$2:$G$334,0)</x:f>
        <x:v>235</x:v>
      </x:c>
      <x:c r="B236" s="7" t="str">
        <x:v>HB-009</x:v>
      </x:c>
      <x:c r="C236" s="7" t="str">
        <x:v>HB</x:v>
      </x:c>
      <x:c r="D236" s="7" t="str">
        <x:v>B</x:v>
      </x:c>
      <x:c r="E236" s="8" t="str">
        <x:v>李俊成</x:v>
      </x:c>
      <x:c r="F236" s="10" t="str">
        <x:v>武汉市常青第一中学</x:v>
      </x:c>
      <x:c r="G236" s="12" t="n">
        <x:f>SUM(H236:J236)+K236</x:f>
        <x:v>360</x:v>
      </x:c>
      <x:c r="H236" s="12" t="n">
        <x:v>100</x:v>
      </x:c>
      <x:c r="I236" s="12" t="n">
        <x:v>132</x:v>
      </x:c>
      <x:c r="J236" s="12" t="n">
        <x:v>128</x:v>
      </x:c>
      <x:c r="K236" s="12" t="n">
        <x:f>IF(D236="A",5,0)</x:f>
        <x:v>0</x:v>
      </x:c>
    </x:row>
    <x:row r="237" ht="30" customHeight="1">
      <x:c r="A237" s="11" t="n">
        <x:f>RANK.EQ(G237,$G$2:$G$334,0)</x:f>
        <x:v>236</x:v>
      </x:c>
      <x:c r="B237" s="7" t="str">
        <x:v>HI-001</x:v>
      </x:c>
      <x:c r="C237" s="7" t="str">
        <x:v>HI</x:v>
      </x:c>
      <x:c r="D237" s="7" t="str">
        <x:v>A</x:v>
      </x:c>
      <x:c r="E237" s="8" t="str">
        <x:v>关陈晓</x:v>
      </x:c>
      <x:c r="F237" s="10" t="str">
        <x:v>北京师范大学海口附属学校</x:v>
      </x:c>
      <x:c r="G237" s="12" t="n">
        <x:f>SUM(H237:J237)+K237</x:f>
        <x:v>359</x:v>
      </x:c>
      <x:c r="H237" s="12" t="n">
        <x:v>100</x:v>
      </x:c>
      <x:c r="I237" s="12" t="n">
        <x:v>156</x:v>
      </x:c>
      <x:c r="J237" s="12" t="n">
        <x:v>98</x:v>
      </x:c>
      <x:c r="K237" s="12" t="n">
        <x:f>IF(D237="A",5,0)</x:f>
        <x:v>5</x:v>
      </x:c>
    </x:row>
    <x:row r="238" ht="30" customHeight="1">
      <x:c r="A238" s="11" t="n">
        <x:f>RANK.EQ(G238,$G$2:$G$334,0)</x:f>
        <x:v>237</x:v>
      </x:c>
      <x:c r="B238" s="7" t="str">
        <x:v>YN-002</x:v>
      </x:c>
      <x:c r="C238" s="7" t="str">
        <x:v>YN</x:v>
      </x:c>
      <x:c r="D238" s="7" t="str">
        <x:v>A</x:v>
      </x:c>
      <x:c r="E238" s="8" t="str">
        <x:v>王荣昊</x:v>
      </x:c>
      <x:c r="F238" s="10" t="str">
        <x:v>云南省昆明市第十中学</x:v>
      </x:c>
      <x:c r="G238" s="12" t="n">
        <x:f>SUM(H238:J238)+K238</x:f>
        <x:v>346</x:v>
      </x:c>
      <x:c r="H238" s="12" t="n">
        <x:v>100</x:v>
      </x:c>
      <x:c r="I238" s="12" t="n">
        <x:v>161</x:v>
      </x:c>
      <x:c r="J238" s="12" t="n">
        <x:v>80</x:v>
      </x:c>
      <x:c r="K238" s="12" t="n">
        <x:f>IF(D238="A",5,0)</x:f>
        <x:v>5</x:v>
      </x:c>
    </x:row>
    <x:row r="239" ht="30" customHeight="1">
      <x:c r="A239" s="11" t="n">
        <x:f>RANK.EQ(G239,$G$2:$G$334,0)</x:f>
        <x:v>238</x:v>
      </x:c>
      <x:c r="B239" s="7" t="str">
        <x:v>JL-005</x:v>
      </x:c>
      <x:c r="C239" s="7" t="str">
        <x:v>JL</x:v>
      </x:c>
      <x:c r="D239" s="7" t="str">
        <x:v>A</x:v>
      </x:c>
      <x:c r="E239" s="8" t="str">
        <x:v>唐诗晴</x:v>
      </x:c>
      <x:c r="F239" s="10" t="str">
        <x:v>东北师范大学附属中学</x:v>
      </x:c>
      <x:c r="G239" s="12" t="n">
        <x:f>SUM(H239:J239)+K239</x:f>
        <x:v>345</x:v>
      </x:c>
      <x:c r="H239" s="12" t="n">
        <x:v>100</x:v>
      </x:c>
      <x:c r="I239" s="12" t="n">
        <x:v>138</x:v>
      </x:c>
      <x:c r="J239" s="12" t="n">
        <x:v>102</x:v>
      </x:c>
      <x:c r="K239" s="12" t="n">
        <x:f>IF(D239="A",5,0)</x:f>
        <x:v>5</x:v>
      </x:c>
    </x:row>
    <x:row r="240" ht="30" customHeight="1">
      <x:c r="A240" s="11" t="n">
        <x:f>RANK.EQ(G240,$G$2:$G$334,0)</x:f>
        <x:v>239</x:v>
      </x:c>
      <x:c r="B240" s="7" t="str">
        <x:v>JX-004</x:v>
      </x:c>
      <x:c r="C240" s="7" t="str">
        <x:v>JX</x:v>
      </x:c>
      <x:c r="D240" s="7" t="str">
        <x:v>A</x:v>
      </x:c>
      <x:c r="E240" s="8" t="str">
        <x:v>聂鸿杰</x:v>
      </x:c>
      <x:c r="F240" s="10" t="str">
        <x:v>赣州市文清外国语学校</x:v>
      </x:c>
      <x:c r="G240" s="12" t="n">
        <x:f>SUM(H240:J240)+K240</x:f>
        <x:v>344</x:v>
      </x:c>
      <x:c r="H240" s="12" t="n">
        <x:v>100</x:v>
      </x:c>
      <x:c r="I240" s="12" t="n">
        <x:v>107</x:v>
      </x:c>
      <x:c r="J240" s="12" t="n">
        <x:v>132</x:v>
      </x:c>
      <x:c r="K240" s="12" t="n">
        <x:f>IF(D240="A",5,0)</x:f>
        <x:v>5</x:v>
      </x:c>
    </x:row>
    <x:row r="241" ht="30" customHeight="1">
      <x:c r="A241" s="11" t="n">
        <x:f>RANK.EQ(G241,$G$2:$G$334,0)</x:f>
        <x:v>240</x:v>
      </x:c>
      <x:c r="B241" s="7" t="str">
        <x:v>JS-020</x:v>
      </x:c>
      <x:c r="C241" s="7" t="str">
        <x:v>JS</x:v>
      </x:c>
      <x:c r="D241" s="7" t="str">
        <x:v>C</x:v>
      </x:c>
      <x:c r="E241" s="8" t="str">
        <x:v>项承煦</x:v>
      </x:c>
      <x:c r="F241" s="10" t="str">
        <x:v>南京外国语学校</x:v>
      </x:c>
      <x:c r="G241" s="12" t="n">
        <x:f>SUM(H241:J241)+K241</x:f>
        <x:v>342</x:v>
      </x:c>
      <x:c r="H241" s="12" t="n">
        <x:v>100</x:v>
      </x:c>
      <x:c r="I241" s="12" t="n">
        <x:v>121</x:v>
      </x:c>
      <x:c r="J241" s="12" t="n">
        <x:v>121</x:v>
      </x:c>
      <x:c r="K241" s="12" t="n">
        <x:f>IF(D241="A",5,0)</x:f>
        <x:v>0</x:v>
      </x:c>
    </x:row>
    <x:row r="242" ht="30" customHeight="1">
      <x:c r="A242" s="11" t="n">
        <x:f>RANK.EQ(G242,$G$2:$G$334,0)</x:f>
        <x:v>241</x:v>
      </x:c>
      <x:c r="B242" s="7" t="str">
        <x:v>BJ-012</x:v>
      </x:c>
      <x:c r="C242" s="7" t="str">
        <x:v>BJ</x:v>
      </x:c>
      <x:c r="D242" s="7" t="str">
        <x:v>B</x:v>
      </x:c>
      <x:c r="E242" s="8" t="str">
        <x:v>傅九瑞</x:v>
      </x:c>
      <x:c r="F242" s="10" t="str">
        <x:v>北京师范大学附属实验中学</x:v>
      </x:c>
      <x:c r="G242" s="12" t="n">
        <x:f>SUM(H242:J242)+K242</x:f>
        <x:v>339</x:v>
      </x:c>
      <x:c r="H242" s="12" t="n">
        <x:v>100</x:v>
      </x:c>
      <x:c r="I242" s="12" t="n">
        <x:v>141</x:v>
      </x:c>
      <x:c r="J242" s="12" t="n">
        <x:v>98</x:v>
      </x:c>
      <x:c r="K242" s="12" t="n">
        <x:f>IF(D242="A",5,0)</x:f>
        <x:v>0</x:v>
      </x:c>
    </x:row>
    <x:row r="243" ht="30" customHeight="1">
      <x:c r="A243" s="11" t="n">
        <x:f>RANK.EQ(G243,$G$2:$G$334,0)</x:f>
        <x:v>241</x:v>
      </x:c>
      <x:c r="B243" s="7" t="str">
        <x:v>SX-004</x:v>
      </x:c>
      <x:c r="C243" s="7" t="str">
        <x:v>SX</x:v>
      </x:c>
      <x:c r="D243" s="7" t="str">
        <x:v>A</x:v>
      </x:c>
      <x:c r="E243" s="8" t="str">
        <x:v>姚宣羽</x:v>
      </x:c>
      <x:c r="F243" s="10" t="str">
        <x:v>运城市康杰中学</x:v>
      </x:c>
      <x:c r="G243" s="12" t="n">
        <x:f>SUM(H243:J243)+K243</x:f>
        <x:v>339</x:v>
      </x:c>
      <x:c r="H243" s="12" t="n">
        <x:v>100</x:v>
      </x:c>
      <x:c r="I243" s="12" t="n">
        <x:v>114</x:v>
      </x:c>
      <x:c r="J243" s="12" t="n">
        <x:v>120</x:v>
      </x:c>
      <x:c r="K243" s="12" t="n">
        <x:f>IF(D243="A",5,0)</x:f>
        <x:v>5</x:v>
      </x:c>
    </x:row>
    <x:row r="244" ht="30" customHeight="1">
      <x:c r="A244" s="11" t="n">
        <x:f>RANK.EQ(G244,$G$2:$G$334,0)</x:f>
        <x:v>243</x:v>
      </x:c>
      <x:c r="B244" s="7" t="str">
        <x:v>HL-006</x:v>
      </x:c>
      <x:c r="C244" s="7" t="str">
        <x:v>HL</x:v>
      </x:c>
      <x:c r="D244" s="7" t="str">
        <x:v>B</x:v>
      </x:c>
      <x:c r="E244" s="8" t="str">
        <x:v>赵天放</x:v>
      </x:c>
      <x:c r="F244" s="10" t="str">
        <x:v>大庆实验中学</x:v>
      </x:c>
      <x:c r="G244" s="12" t="n">
        <x:f>SUM(H244:J244)+K244</x:f>
        <x:v>336</x:v>
      </x:c>
      <x:c r="H244" s="12" t="n">
        <x:v>100</x:v>
      </x:c>
      <x:c r="I244" s="12" t="n">
        <x:v>166</x:v>
      </x:c>
      <x:c r="J244" s="12" t="n">
        <x:v>70</x:v>
      </x:c>
      <x:c r="K244" s="12" t="n">
        <x:f>IF(D244="A",5,0)</x:f>
        <x:v>0</x:v>
      </x:c>
    </x:row>
    <x:row r="245" ht="30" customHeight="1">
      <x:c r="A245" s="11" t="n">
        <x:f>RANK.EQ(G245,$G$2:$G$334,0)</x:f>
        <x:v>244</x:v>
      </x:c>
      <x:c r="B245" s="7" t="str">
        <x:v>HA-007</x:v>
      </x:c>
      <x:c r="C245" s="7" t="str">
        <x:v>HA</x:v>
      </x:c>
      <x:c r="D245" s="7" t="str">
        <x:v>B</x:v>
      </x:c>
      <x:c r="E245" s="8" t="str">
        <x:v>单一凯</x:v>
      </x:c>
      <x:c r="F245" s="10" t="str">
        <x:v>郑州市第一中学</x:v>
      </x:c>
      <x:c r="G245" s="12" t="n">
        <x:f>SUM(H245:J245)+K245</x:f>
        <x:v>325</x:v>
      </x:c>
      <x:c r="H245" s="12" t="n">
        <x:v>100</x:v>
      </x:c>
      <x:c r="I245" s="12" t="n">
        <x:v>97</x:v>
      </x:c>
      <x:c r="J245" s="12" t="n">
        <x:v>128</x:v>
      </x:c>
      <x:c r="K245" s="12" t="n">
        <x:f>IF(D245="A",5,0)</x:f>
        <x:v>0</x:v>
      </x:c>
    </x:row>
    <x:row r="246" ht="30" customHeight="1">
      <x:c r="A246" s="11" t="n">
        <x:f>RANK.EQ(G246,$G$2:$G$334,0)</x:f>
        <x:v>244</x:v>
      </x:c>
      <x:c r="B246" s="7" t="str">
        <x:v>HK-003</x:v>
      </x:c>
      <x:c r="C246" s="7" t="str">
        <x:v>HK</x:v>
      </x:c>
      <x:c r="D246" s="7" t="str">
        <x:v>A</x:v>
      </x:c>
      <x:c r="E246" s="8" t="str">
        <x:v>何信毅</x:v>
      </x:c>
      <x:c r="F246" s="10" t="str">
        <x:v>拔萃男書院</x:v>
      </x:c>
      <x:c r="G246" s="12" t="n">
        <x:f>SUM(H246:J246)+K246</x:f>
        <x:v>325</x:v>
      </x:c>
      <x:c r="H246" s="12" t="n">
        <x:v>99</x:v>
      </x:c>
      <x:c r="I246" s="12" t="n">
        <x:v>113</x:v>
      </x:c>
      <x:c r="J246" s="12" t="n">
        <x:v>108</x:v>
      </x:c>
      <x:c r="K246" s="12" t="n">
        <x:f>IF(D246="A",5,0)</x:f>
        <x:v>5</x:v>
      </x:c>
    </x:row>
    <x:row r="247" ht="30" customHeight="1">
      <x:c r="A247" s="11" t="n">
        <x:f>RANK.EQ(G247,$G$2:$G$334,0)</x:f>
        <x:v>246</x:v>
      </x:c>
      <x:c r="B247" s="7" t="str">
        <x:v>BJ-017</x:v>
      </x:c>
      <x:c r="C247" s="7" t="str">
        <x:v>BJ</x:v>
      </x:c>
      <x:c r="D247" s="7" t="str">
        <x:v>B</x:v>
      </x:c>
      <x:c r="E247" s="8" t="str">
        <x:v>万俊杰</x:v>
      </x:c>
      <x:c r="F247" s="10" t="str">
        <x:v>北京市第一〇一中学</x:v>
      </x:c>
      <x:c r="G247" s="12" t="n">
        <x:f>SUM(H247:J247)+K247</x:f>
        <x:v>324</x:v>
      </x:c>
      <x:c r="H247" s="12" t="n">
        <x:v>100</x:v>
      </x:c>
      <x:c r="I247" s="12" t="n">
        <x:v>117</x:v>
      </x:c>
      <x:c r="J247" s="12" t="n">
        <x:v>107</x:v>
      </x:c>
      <x:c r="K247" s="12" t="n">
        <x:f>IF(D247="A",5,0)</x:f>
        <x:v>0</x:v>
      </x:c>
    </x:row>
    <x:row r="248" ht="30" customHeight="1">
      <x:c r="A248" s="11" t="n">
        <x:f>RANK.EQ(G248,$G$2:$G$334,0)</x:f>
        <x:v>246</x:v>
      </x:c>
      <x:c r="B248" s="7" t="str">
        <x:v>TJ-001</x:v>
      </x:c>
      <x:c r="C248" s="7" t="str">
        <x:v>TJ</x:v>
      </x:c>
      <x:c r="D248" s="7" t="str">
        <x:v>A</x:v>
      </x:c>
      <x:c r="E248" s="8" t="str">
        <x:v>韩政言</x:v>
      </x:c>
      <x:c r="F248" s="10" t="str">
        <x:v>天津市第一中学</x:v>
      </x:c>
      <x:c r="G248" s="12" t="n">
        <x:f>SUM(H248:J248)+K248</x:f>
        <x:v>324</x:v>
      </x:c>
      <x:c r="H248" s="12" t="n">
        <x:v>100</x:v>
      </x:c>
      <x:c r="I248" s="12" t="n">
        <x:v>125</x:v>
      </x:c>
      <x:c r="J248" s="12" t="n">
        <x:v>94</x:v>
      </x:c>
      <x:c r="K248" s="12" t="n">
        <x:f>IF(D248="A",5,0)</x:f>
        <x:v>5</x:v>
      </x:c>
    </x:row>
    <x:row r="249" ht="30" customHeight="1">
      <x:c r="A249" s="11" t="n">
        <x:f>RANK.EQ(G249,$G$2:$G$334,0)</x:f>
        <x:v>248</x:v>
      </x:c>
      <x:c r="B249" s="7" t="str">
        <x:v>SD-022</x:v>
      </x:c>
      <x:c r="C249" s="7" t="str">
        <x:v>SD</x:v>
      </x:c>
      <x:c r="D249" s="7" t="str">
        <x:v>B</x:v>
      </x:c>
      <x:c r="E249" s="8" t="str">
        <x:v>刘国恩</x:v>
      </x:c>
      <x:c r="F249" s="10" t="str">
        <x:v>山东省平邑第一中学</x:v>
      </x:c>
      <x:c r="G249" s="12" t="n">
        <x:f>SUM(H249:J249)+K249</x:f>
        <x:v>322</x:v>
      </x:c>
      <x:c r="H249" s="12" t="n">
        <x:v>100</x:v>
      </x:c>
      <x:c r="I249" s="12" t="n">
        <x:v>122</x:v>
      </x:c>
      <x:c r="J249" s="12" t="n">
        <x:v>100</x:v>
      </x:c>
      <x:c r="K249" s="12" t="n">
        <x:f>IF(D249="A",5,0)</x:f>
        <x:v>0</x:v>
      </x:c>
    </x:row>
    <x:row r="250" ht="30" customHeight="1">
      <x:c r="A250" s="11" t="n">
        <x:f>RANK.EQ(G250,$G$2:$G$334,0)</x:f>
        <x:v>249</x:v>
      </x:c>
      <x:c r="B250" s="7" t="str">
        <x:v>CQ-005</x:v>
      </x:c>
      <x:c r="C250" s="7" t="str">
        <x:v>CQ</x:v>
      </x:c>
      <x:c r="D250" s="7" t="str">
        <x:v>A</x:v>
      </x:c>
      <x:c r="E250" s="8" t="str">
        <x:v>葛芊妤</x:v>
      </x:c>
      <x:c r="F250" s="10" t="str">
        <x:v>重庆市巴蜀中学校</x:v>
      </x:c>
      <x:c r="G250" s="12" t="n">
        <x:f>SUM(H250:J250)+K250</x:f>
        <x:v>315</x:v>
      </x:c>
      <x:c r="H250" s="12" t="n">
        <x:v>100</x:v>
      </x:c>
      <x:c r="I250" s="12" t="n">
        <x:v>95</x:v>
      </x:c>
      <x:c r="J250" s="12" t="n">
        <x:v>115</x:v>
      </x:c>
      <x:c r="K250" s="12" t="n">
        <x:f>IF(D250="A",5,0)</x:f>
        <x:v>5</x:v>
      </x:c>
    </x:row>
    <x:row r="251" ht="30" customHeight="1">
      <x:c r="A251" s="11" t="n">
        <x:f>RANK.EQ(G251,$G$2:$G$334,0)</x:f>
        <x:v>250</x:v>
      </x:c>
      <x:c r="B251" s="7" t="str">
        <x:v>HN-010</x:v>
      </x:c>
      <x:c r="C251" s="7" t="str">
        <x:v>HN</x:v>
      </x:c>
      <x:c r="D251" s="7" t="str">
        <x:v>B</x:v>
      </x:c>
      <x:c r="E251" s="8" t="str">
        <x:v>陈祉亦</x:v>
      </x:c>
      <x:c r="F251" s="10" t="str">
        <x:v>湖南师范大学附属中学</x:v>
      </x:c>
      <x:c r="G251" s="12" t="n">
        <x:f>SUM(H251:J251)+K251</x:f>
        <x:v>314</x:v>
      </x:c>
      <x:c r="H251" s="12" t="n">
        <x:v>100</x:v>
      </x:c>
      <x:c r="I251" s="12" t="n">
        <x:v>124</x:v>
      </x:c>
      <x:c r="J251" s="12" t="n">
        <x:v>90</x:v>
      </x:c>
      <x:c r="K251" s="12" t="n">
        <x:f>IF(D251="A",5,0)</x:f>
        <x:v>0</x:v>
      </x:c>
    </x:row>
    <x:row r="252" ht="30" customHeight="1">
      <x:c r="A252" s="11" t="n">
        <x:f>RANK.EQ(G252,$G$2:$G$334,0)</x:f>
        <x:v>251</x:v>
      </x:c>
      <x:c r="B252" s="7" t="str">
        <x:v>SX-003</x:v>
      </x:c>
      <x:c r="C252" s="7" t="str">
        <x:v>SX</x:v>
      </x:c>
      <x:c r="D252" s="7" t="str">
        <x:v>A</x:v>
      </x:c>
      <x:c r="E252" s="8" t="str">
        <x:v>李雨泽</x:v>
      </x:c>
      <x:c r="F252" s="10" t="str">
        <x:v>太原市第五中学校</x:v>
      </x:c>
      <x:c r="G252" s="12" t="n">
        <x:f>SUM(H252:J252)+K252</x:f>
        <x:v>311</x:v>
      </x:c>
      <x:c r="H252" s="12" t="n">
        <x:v>100</x:v>
      </x:c>
      <x:c r="I252" s="12" t="n">
        <x:v>156</x:v>
      </x:c>
      <x:c r="J252" s="12" t="n">
        <x:v>50</x:v>
      </x:c>
      <x:c r="K252" s="12" t="n">
        <x:f>IF(D252="A",5,0)</x:f>
        <x:v>5</x:v>
      </x:c>
    </x:row>
    <x:row r="253" ht="30" customHeight="1">
      <x:c r="A253" s="11" t="n">
        <x:f>RANK.EQ(G253,$G$2:$G$334,0)</x:f>
        <x:v>252</x:v>
      </x:c>
      <x:c r="B253" s="7" t="str">
        <x:v>ZJ-003</x:v>
      </x:c>
      <x:c r="C253" s="7" t="str">
        <x:v>ZJ</x:v>
      </x:c>
      <x:c r="D253" s="7" t="str">
        <x:v>A</x:v>
      </x:c>
      <x:c r="E253" s="8" t="str">
        <x:v>王冠龛</x:v>
      </x:c>
      <x:c r="F253" s="10" t="str">
        <x:v>宁波市镇海蛟川书院</x:v>
      </x:c>
      <x:c r="G253" s="12" t="n">
        <x:f>SUM(H253:J253)+K253</x:f>
        <x:v>308</x:v>
      </x:c>
      <x:c r="H253" s="12" t="n">
        <x:v>100</x:v>
      </x:c>
      <x:c r="I253" s="12" t="n">
        <x:v>113</x:v>
      </x:c>
      <x:c r="J253" s="12" t="n">
        <x:v>90</x:v>
      </x:c>
      <x:c r="K253" s="12" t="n">
        <x:f>IF(D253="A",5,0)</x:f>
        <x:v>5</x:v>
      </x:c>
    </x:row>
    <x:row r="254" ht="30" customHeight="1">
      <x:c r="A254" s="11" t="n">
        <x:f>RANK.EQ(G254,$G$2:$G$334,0)</x:f>
        <x:v>253</x:v>
      </x:c>
      <x:c r="B254" s="7" t="str">
        <x:v>SX-006</x:v>
      </x:c>
      <x:c r="C254" s="7" t="str">
        <x:v>SX</x:v>
      </x:c>
      <x:c r="D254" s="7" t="str">
        <x:v>B</x:v>
      </x:c>
      <x:c r="E254" s="8" t="str">
        <x:v>温皓程</x:v>
      </x:c>
      <x:c r="F254" s="10" t="str">
        <x:v>太原市常青藤中学校</x:v>
      </x:c>
      <x:c r="G254" s="12" t="n">
        <x:f>SUM(H254:J254)+K254</x:f>
        <x:v>303</x:v>
      </x:c>
      <x:c r="H254" s="12" t="n">
        <x:v>100</x:v>
      </x:c>
      <x:c r="I254" s="12" t="n">
        <x:v>105</x:v>
      </x:c>
      <x:c r="J254" s="12" t="n">
        <x:v>98</x:v>
      </x:c>
      <x:c r="K254" s="12" t="n">
        <x:f>IF(D254="A",5,0)</x:f>
        <x:v>0</x:v>
      </x:c>
    </x:row>
    <x:row r="255" ht="30" customHeight="1">
      <x:c r="A255" s="11" t="n">
        <x:f>RANK.EQ(G255,$G$2:$G$334,0)</x:f>
        <x:v>253</x:v>
      </x:c>
      <x:c r="B255" s="7" t="str">
        <x:v>TJ-006</x:v>
      </x:c>
      <x:c r="C255" s="7" t="str">
        <x:v>TJ</x:v>
      </x:c>
      <x:c r="D255" s="7" t="str">
        <x:v>B</x:v>
      </x:c>
      <x:c r="E255" s="8" t="str">
        <x:v>丁敬轩</x:v>
      </x:c>
      <x:c r="F255" s="10" t="str">
        <x:v>天津市第一中学</x:v>
      </x:c>
      <x:c r="G255" s="12" t="n">
        <x:f>SUM(H255:J255)+K255</x:f>
        <x:v>303</x:v>
      </x:c>
      <x:c r="H255" s="12" t="n">
        <x:v>100</x:v>
      </x:c>
      <x:c r="I255" s="12" t="n">
        <x:v>113</x:v>
      </x:c>
      <x:c r="J255" s="12" t="n">
        <x:v>90</x:v>
      </x:c>
      <x:c r="K255" s="12" t="n">
        <x:f>IF(D255="A",5,0)</x:f>
        <x:v>0</x:v>
      </x:c>
    </x:row>
    <x:row r="256" ht="30" customHeight="1">
      <x:c r="A256" s="11" t="n">
        <x:f>RANK.EQ(G256,$G$2:$G$334,0)</x:f>
        <x:v>255</x:v>
      </x:c>
      <x:c r="B256" s="7" t="str">
        <x:v>HK-002</x:v>
      </x:c>
      <x:c r="C256" s="7" t="str">
        <x:v>HK</x:v>
      </x:c>
      <x:c r="D256" s="7" t="str">
        <x:v>A</x:v>
      </x:c>
      <x:c r="E256" s="8" t="str">
        <x:v>黎康同</x:v>
      </x:c>
      <x:c r="F256" s="10" t="str">
        <x:v>喇沙書院</x:v>
      </x:c>
      <x:c r="G256" s="12" t="n">
        <x:f>SUM(H256:J256)+K256</x:f>
        <x:v>297</x:v>
      </x:c>
      <x:c r="H256" s="12" t="n">
        <x:v>100</x:v>
      </x:c>
      <x:c r="I256" s="12" t="n">
        <x:v>142</x:v>
      </x:c>
      <x:c r="J256" s="12" t="n">
        <x:v>50</x:v>
      </x:c>
      <x:c r="K256" s="12" t="n">
        <x:f>IF(D256="A",5,0)</x:f>
        <x:v>5</x:v>
      </x:c>
    </x:row>
    <x:row r="257" ht="30" customHeight="1">
      <x:c r="A257" s="11" t="n">
        <x:f>RANK.EQ(G257,$G$2:$G$334,0)</x:f>
        <x:v>256</x:v>
      </x:c>
      <x:c r="B257" s="7" t="str">
        <x:v>HI-002</x:v>
      </x:c>
      <x:c r="C257" s="7" t="str">
        <x:v>HI</x:v>
      </x:c>
      <x:c r="D257" s="7" t="str">
        <x:v>A</x:v>
      </x:c>
      <x:c r="E257" s="8" t="str">
        <x:v>陈文默</x:v>
      </x:c>
      <x:c r="F257" s="10" t="str">
        <x:v>海南华侨中学</x:v>
      </x:c>
      <x:c r="G257" s="12" t="n">
        <x:f>SUM(H257:J257)+K257</x:f>
        <x:v>295</x:v>
      </x:c>
      <x:c r="H257" s="12" t="n">
        <x:v>100</x:v>
      </x:c>
      <x:c r="I257" s="12" t="n">
        <x:v>100</x:v>
      </x:c>
      <x:c r="J257" s="12" t="n">
        <x:v>90</x:v>
      </x:c>
      <x:c r="K257" s="12" t="n">
        <x:f>IF(D257="A",5,0)</x:f>
        <x:v>5</x:v>
      </x:c>
    </x:row>
    <x:row r="258" ht="30" customHeight="1">
      <x:c r="A258" s="11" t="n">
        <x:f>RANK.EQ(G258,$G$2:$G$334,0)</x:f>
        <x:v>257</x:v>
      </x:c>
      <x:c r="B258" s="7" t="str">
        <x:v>HI-004</x:v>
      </x:c>
      <x:c r="C258" s="7" t="str">
        <x:v>HI</x:v>
      </x:c>
      <x:c r="D258" s="7" t="str">
        <x:v>A</x:v>
      </x:c>
      <x:c r="E258" s="8" t="str">
        <x:v>邹岱呈</x:v>
      </x:c>
      <x:c r="F258" s="10" t="str">
        <x:v>海南微城未来教育学校</x:v>
      </x:c>
      <x:c r="G258" s="12" t="n">
        <x:f>SUM(H258:J258)+K258</x:f>
        <x:v>289</x:v>
      </x:c>
      <x:c r="H258" s="12" t="n">
        <x:v>99</x:v>
      </x:c>
      <x:c r="I258" s="12" t="n">
        <x:v>120</x:v>
      </x:c>
      <x:c r="J258" s="12" t="n">
        <x:v>65</x:v>
      </x:c>
      <x:c r="K258" s="12" t="n">
        <x:f>IF(D258="A",5,0)</x:f>
        <x:v>5</x:v>
      </x:c>
    </x:row>
    <x:row r="259" ht="30" customHeight="1">
      <x:c r="A259" s="11" t="n">
        <x:f>RANK.EQ(G259,$G$2:$G$334,0)</x:f>
        <x:v>257</x:v>
      </x:c>
      <x:c r="B259" s="7" t="str">
        <x:v>SC-013</x:v>
      </x:c>
      <x:c r="C259" s="7" t="str">
        <x:v>SC</x:v>
      </x:c>
      <x:c r="D259" s="7" t="str">
        <x:v>B</x:v>
      </x:c>
      <x:c r="E259" s="8" t="str">
        <x:v>谢荣泽</x:v>
      </x:c>
      <x:c r="F259" s="10" t="str">
        <x:v>成都外国语学校</x:v>
      </x:c>
      <x:c r="G259" s="12" t="n">
        <x:f>SUM(H259:J259)+K259</x:f>
        <x:v>289</x:v>
      </x:c>
      <x:c r="H259" s="12" t="n">
        <x:v>100</x:v>
      </x:c>
      <x:c r="I259" s="12" t="n">
        <x:v>95</x:v>
      </x:c>
      <x:c r="J259" s="12" t="n">
        <x:v>94</x:v>
      </x:c>
      <x:c r="K259" s="12" t="n">
        <x:f>IF(D259="A",5,0)</x:f>
        <x:v>0</x:v>
      </x:c>
    </x:row>
    <x:row r="260" ht="30" customHeight="1">
      <x:c r="A260" s="11" t="n">
        <x:f>RANK.EQ(G260,$G$2:$G$334,0)</x:f>
        <x:v>257</x:v>
      </x:c>
      <x:c r="B260" s="7" t="str">
        <x:v>TJ-003</x:v>
      </x:c>
      <x:c r="C260" s="7" t="str">
        <x:v>TJ</x:v>
      </x:c>
      <x:c r="D260" s="7" t="str">
        <x:v>A</x:v>
      </x:c>
      <x:c r="E260" s="8" t="str">
        <x:v>张睿宸</x:v>
      </x:c>
      <x:c r="F260" s="10" t="str">
        <x:v>天津市南开中学</x:v>
      </x:c>
      <x:c r="G260" s="12" t="n">
        <x:f>SUM(H260:J260)+K260</x:f>
        <x:v>289</x:v>
      </x:c>
      <x:c r="H260" s="12" t="n">
        <x:v>100</x:v>
      </x:c>
      <x:c r="I260" s="12" t="n">
        <x:v>106</x:v>
      </x:c>
      <x:c r="J260" s="12" t="n">
        <x:v>78</x:v>
      </x:c>
      <x:c r="K260" s="12" t="n">
        <x:f>IF(D260="A",5,0)</x:f>
        <x:v>5</x:v>
      </x:c>
    </x:row>
    <x:row r="261" ht="30" customHeight="1">
      <x:c r="A261" s="11" t="n">
        <x:f>RANK.EQ(G261,$G$2:$G$334,0)</x:f>
        <x:v>260</x:v>
      </x:c>
      <x:c r="B261" s="7" t="str">
        <x:v>YN-004</x:v>
      </x:c>
      <x:c r="C261" s="7" t="str">
        <x:v>YN</x:v>
      </x:c>
      <x:c r="D261" s="7" t="str">
        <x:v>A</x:v>
      </x:c>
      <x:c r="E261" s="8" t="str">
        <x:v>傅栎畅</x:v>
      </x:c>
      <x:c r="F261" s="10" t="str">
        <x:v>蒙自市第一高级中学</x:v>
      </x:c>
      <x:c r="G261" s="12" t="n">
        <x:f>SUM(H261:J261)+K261</x:f>
        <x:v>288</x:v>
      </x:c>
      <x:c r="H261" s="12" t="n">
        <x:v>100</x:v>
      </x:c>
      <x:c r="I261" s="12" t="n">
        <x:v>93</x:v>
      </x:c>
      <x:c r="J261" s="12" t="n">
        <x:v>90</x:v>
      </x:c>
      <x:c r="K261" s="12" t="n">
        <x:f>IF(D261="A",5,0)</x:f>
        <x:v>5</x:v>
      </x:c>
    </x:row>
    <x:row r="262" ht="30" customHeight="1">
      <x:c r="A262" s="11" t="n">
        <x:f>RANK.EQ(G262,$G$2:$G$334,0)</x:f>
        <x:v>261</x:v>
      </x:c>
      <x:c r="B262" s="7" t="str">
        <x:v>NM-004</x:v>
      </x:c>
      <x:c r="C262" s="7" t="str">
        <x:v>NM</x:v>
      </x:c>
      <x:c r="D262" s="7" t="str">
        <x:v>A</x:v>
      </x:c>
      <x:c r="E262" s="8" t="str">
        <x:v>吕凝</x:v>
      </x:c>
      <x:c r="F262" s="10" t="str">
        <x:v>鄂托克旗第一中学</x:v>
      </x:c>
      <x:c r="G262" s="12" t="n">
        <x:f>SUM(H262:J262)+K262</x:f>
        <x:v>287</x:v>
      </x:c>
      <x:c r="H262" s="12" t="n">
        <x:v>100</x:v>
      </x:c>
      <x:c r="I262" s="12" t="n">
        <x:v>102</x:v>
      </x:c>
      <x:c r="J262" s="12" t="n">
        <x:v>80</x:v>
      </x:c>
      <x:c r="K262" s="12" t="n">
        <x:f>IF(D262="A",5,0)</x:f>
        <x:v>5</x:v>
      </x:c>
    </x:row>
    <x:row r="263" ht="30" customHeight="1">
      <x:c r="A263" s="11" t="n">
        <x:f>RANK.EQ(G263,$G$2:$G$334,0)</x:f>
        <x:v>262</x:v>
      </x:c>
      <x:c r="B263" s="7" t="str">
        <x:v>JL-007</x:v>
      </x:c>
      <x:c r="C263" s="7" t="str">
        <x:v>JL</x:v>
      </x:c>
      <x:c r="D263" s="7" t="str">
        <x:v>B</x:v>
      </x:c>
      <x:c r="E263" s="8" t="str">
        <x:v>王文浩</x:v>
      </x:c>
      <x:c r="F263" s="10" t="str">
        <x:v>长春吉大附中实验学校</x:v>
      </x:c>
      <x:c r="G263" s="12" t="n">
        <x:f>SUM(H263:J263)+K263</x:f>
        <x:v>286</x:v>
      </x:c>
      <x:c r="H263" s="12" t="n">
        <x:v>99</x:v>
      </x:c>
      <x:c r="I263" s="12" t="n">
        <x:v>92</x:v>
      </x:c>
      <x:c r="J263" s="12" t="n">
        <x:v>95</x:v>
      </x:c>
      <x:c r="K263" s="12" t="n">
        <x:f>IF(D263="A",5,0)</x:f>
        <x:v>0</x:v>
      </x:c>
    </x:row>
    <x:row r="264" ht="30" customHeight="1">
      <x:c r="A264" s="11" t="n">
        <x:f>RANK.EQ(G264,$G$2:$G$334,0)</x:f>
        <x:v>263</x:v>
      </x:c>
      <x:c r="B264" s="7" t="str">
        <x:v>NM-003</x:v>
      </x:c>
      <x:c r="C264" s="7" t="str">
        <x:v>NM</x:v>
      </x:c>
      <x:c r="D264" s="7" t="str">
        <x:v>A</x:v>
      </x:c>
      <x:c r="E264" s="8" t="str">
        <x:v>吴俊兴</x:v>
      </x:c>
      <x:c r="F264" s="10" t="str">
        <x:v>包头市第九中学</x:v>
      </x:c>
      <x:c r="G264" s="12" t="n">
        <x:f>SUM(H264:J264)+K264</x:f>
        <x:v>285</x:v>
      </x:c>
      <x:c r="H264" s="12" t="n">
        <x:v>100</x:v>
      </x:c>
      <x:c r="I264" s="12" t="n">
        <x:v>85</x:v>
      </x:c>
      <x:c r="J264" s="12" t="n">
        <x:v>95</x:v>
      </x:c>
      <x:c r="K264" s="12" t="n">
        <x:f>IF(D264="A",5,0)</x:f>
        <x:v>5</x:v>
      </x:c>
    </x:row>
    <x:row r="265" ht="30" customHeight="1">
      <x:c r="A265" s="11" t="n">
        <x:f>RANK.EQ(G265,$G$2:$G$334,0)</x:f>
        <x:v>264</x:v>
      </x:c>
      <x:c r="B265" s="7" t="str">
        <x:v>NM-002</x:v>
      </x:c>
      <x:c r="C265" s="7" t="str">
        <x:v>NM</x:v>
      </x:c>
      <x:c r="D265" s="7" t="str">
        <x:v>A</x:v>
      </x:c>
      <x:c r="E265" s="8" t="str">
        <x:v>王钰博</x:v>
      </x:c>
      <x:c r="F265" s="10" t="str">
        <x:v>呼和浩特市第二中学</x:v>
      </x:c>
      <x:c r="G265" s="12" t="n">
        <x:f>SUM(H265:J265)+K265</x:f>
        <x:v>284</x:v>
      </x:c>
      <x:c r="H265" s="12" t="n">
        <x:v>100</x:v>
      </x:c>
      <x:c r="I265" s="12" t="n">
        <x:v>99</x:v>
      </x:c>
      <x:c r="J265" s="12" t="n">
        <x:v>80</x:v>
      </x:c>
      <x:c r="K265" s="12" t="n">
        <x:f>IF(D265="A",5,0)</x:f>
        <x:v>5</x:v>
      </x:c>
    </x:row>
    <x:row r="266" ht="30" customHeight="1">
      <x:c r="A266" s="11" t="n">
        <x:f>RANK.EQ(G266,$G$2:$G$334,0)</x:f>
        <x:v>265</x:v>
      </x:c>
      <x:c r="B266" s="7" t="str">
        <x:v>HI-003</x:v>
      </x:c>
      <x:c r="C266" s="7" t="str">
        <x:v>HI</x:v>
      </x:c>
      <x:c r="D266" s="7" t="str">
        <x:v>A</x:v>
      </x:c>
      <x:c r="E266" s="8" t="str">
        <x:v>史国尊</x:v>
      </x:c>
      <x:c r="F266" s="10" t="str">
        <x:v>海南微城未来教育学校</x:v>
      </x:c>
      <x:c r="G266" s="12" t="n">
        <x:f>SUM(H266:J266)+K266</x:f>
        <x:v>280</x:v>
      </x:c>
      <x:c r="H266" s="12" t="n">
        <x:v>100</x:v>
      </x:c>
      <x:c r="I266" s="12" t="n">
        <x:v>99</x:v>
      </x:c>
      <x:c r="J266" s="12" t="n">
        <x:v>76</x:v>
      </x:c>
      <x:c r="K266" s="12" t="n">
        <x:f>IF(D266="A",5,0)</x:f>
        <x:v>5</x:v>
      </x:c>
    </x:row>
    <x:row r="267" ht="30" customHeight="1">
      <x:c r="A267" s="11" t="n">
        <x:f>RANK.EQ(G267,$G$2:$G$334,0)</x:f>
        <x:v>265</x:v>
      </x:c>
      <x:c r="B267" s="7" t="str">
        <x:v>TJ-002</x:v>
      </x:c>
      <x:c r="C267" s="7" t="str">
        <x:v>TJ</x:v>
      </x:c>
      <x:c r="D267" s="7" t="str">
        <x:v>A</x:v>
      </x:c>
      <x:c r="E267" s="8" t="str">
        <x:v>邸韵文</x:v>
      </x:c>
      <x:c r="F267" s="10" t="str">
        <x:v>天津英华实验学校</x:v>
      </x:c>
      <x:c r="G267" s="12" t="n">
        <x:f>SUM(H267:J267)+K267</x:f>
        <x:v>280</x:v>
      </x:c>
      <x:c r="H267" s="12" t="n">
        <x:v>100</x:v>
      </x:c>
      <x:c r="I267" s="12" t="n">
        <x:v>81</x:v>
      </x:c>
      <x:c r="J267" s="12" t="n">
        <x:v>94</x:v>
      </x:c>
      <x:c r="K267" s="12" t="n">
        <x:f>IF(D267="A",5,0)</x:f>
        <x:v>5</x:v>
      </x:c>
    </x:row>
    <x:row r="268" ht="30" customHeight="1">
      <x:c r="A268" s="11" t="n">
        <x:f>RANK.EQ(G268,$G$2:$G$334,0)</x:f>
        <x:v>267</x:v>
      </x:c>
      <x:c r="B268" s="7" t="str">
        <x:v>GZ-007</x:v>
      </x:c>
      <x:c r="C268" s="7" t="str">
        <x:v>GZ</x:v>
      </x:c>
      <x:c r="D268" s="7" t="str">
        <x:v>B</x:v>
      </x:c>
      <x:c r="E268" s="8" t="str">
        <x:v>幸进尧</x:v>
      </x:c>
      <x:c r="F268" s="10" t="str">
        <x:v>贵阳市云城中学</x:v>
      </x:c>
      <x:c r="G268" s="12" t="n">
        <x:f>SUM(H268:J268)+K268</x:f>
        <x:v>275</x:v>
      </x:c>
      <x:c r="H268" s="12" t="n">
        <x:v>100</x:v>
      </x:c>
      <x:c r="I268" s="12" t="n">
        <x:v>145</x:v>
      </x:c>
      <x:c r="J268" s="12" t="n">
        <x:v>30</x:v>
      </x:c>
      <x:c r="K268" s="12" t="n">
        <x:f>IF(D268="A",5,0)</x:f>
        <x:v>0</x:v>
      </x:c>
    </x:row>
    <x:row r="269" ht="30" customHeight="1">
      <x:c r="A269" s="11" t="n">
        <x:f>RANK.EQ(G269,$G$2:$G$334,0)</x:f>
        <x:v>267</x:v>
      </x:c>
      <x:c r="B269" s="7" t="str">
        <x:v>HA-001</x:v>
      </x:c>
      <x:c r="C269" s="7" t="str">
        <x:v>HA</x:v>
      </x:c>
      <x:c r="D269" s="7" t="str">
        <x:v>A</x:v>
      </x:c>
      <x:c r="E269" s="8" t="str">
        <x:v>王佳溪</x:v>
      </x:c>
      <x:c r="F269" s="10" t="str">
        <x:v>焦作市第一中学</x:v>
      </x:c>
      <x:c r="G269" s="12" t="n">
        <x:f>SUM(H269:J269)+K269</x:f>
        <x:v>275</x:v>
      </x:c>
      <x:c r="H269" s="12" t="n">
        <x:v>100</x:v>
      </x:c>
      <x:c r="I269" s="12" t="n">
        <x:v>90</x:v>
      </x:c>
      <x:c r="J269" s="12" t="n">
        <x:v>80</x:v>
      </x:c>
      <x:c r="K269" s="12" t="n">
        <x:f>IF(D269="A",5,0)</x:f>
        <x:v>5</x:v>
      </x:c>
    </x:row>
    <x:row r="270" ht="30" customHeight="1">
      <x:c r="A270" s="11" t="n">
        <x:f>RANK.EQ(G270,$G$2:$G$334,0)</x:f>
        <x:v>269</x:v>
      </x:c>
      <x:c r="B270" s="7" t="str">
        <x:v>GX-007</x:v>
      </x:c>
      <x:c r="C270" s="7" t="str">
        <x:v>GX</x:v>
      </x:c>
      <x:c r="D270" s="7" t="str">
        <x:v>B</x:v>
      </x:c>
      <x:c r="E270" s="8" t="str">
        <x:v>刘国辉</x:v>
      </x:c>
      <x:c r="F270" s="10" t="str">
        <x:v>南宁市第二中学</x:v>
      </x:c>
      <x:c r="G270" s="12" t="n">
        <x:f>SUM(H270:J270)+K270</x:f>
        <x:v>274</x:v>
      </x:c>
      <x:c r="H270" s="12" t="n">
        <x:v>100</x:v>
      </x:c>
      <x:c r="I270" s="12" t="n">
        <x:v>86</x:v>
      </x:c>
      <x:c r="J270" s="12" t="n">
        <x:v>88</x:v>
      </x:c>
      <x:c r="K270" s="12" t="n">
        <x:f>IF(D270="A",5,0)</x:f>
        <x:v>0</x:v>
      </x:c>
    </x:row>
    <x:row r="271" ht="30" customHeight="1">
      <x:c r="A271" s="11" t="n">
        <x:f>RANK.EQ(G271,$G$2:$G$334,0)</x:f>
        <x:v>270</x:v>
      </x:c>
      <x:c r="B271" s="7" t="str">
        <x:v>SD-005</x:v>
      </x:c>
      <x:c r="C271" s="7" t="str">
        <x:v>SD</x:v>
      </x:c>
      <x:c r="D271" s="7" t="str">
        <x:v>A</x:v>
      </x:c>
      <x:c r="E271" s="8" t="str">
        <x:v>罗一康</x:v>
      </x:c>
      <x:c r="F271" s="10" t="str">
        <x:v>山东省平邑第一中学</x:v>
      </x:c>
      <x:c r="G271" s="12" t="n">
        <x:f>SUM(H271:J271)+K271</x:f>
        <x:v>273</x:v>
      </x:c>
      <x:c r="H271" s="12" t="n">
        <x:v>100</x:v>
      </x:c>
      <x:c r="I271" s="12" t="n">
        <x:v>118</x:v>
      </x:c>
      <x:c r="J271" s="12" t="n">
        <x:v>50</x:v>
      </x:c>
      <x:c r="K271" s="12" t="n">
        <x:f>IF(D271="A",5,0)</x:f>
        <x:v>5</x:v>
      </x:c>
    </x:row>
    <x:row r="272" ht="30" customHeight="1">
      <x:c r="A272" s="11" t="n">
        <x:f>RANK.EQ(G272,$G$2:$G$334,0)</x:f>
        <x:v>271</x:v>
      </x:c>
      <x:c r="B272" s="7" t="str">
        <x:v>FJ-004</x:v>
      </x:c>
      <x:c r="C272" s="7" t="str">
        <x:v>FJ</x:v>
      </x:c>
      <x:c r="D272" s="7" t="str">
        <x:v>A</x:v>
      </x:c>
      <x:c r="E272" s="8" t="str">
        <x:v>刘悦萱</x:v>
      </x:c>
      <x:c r="F272" s="10" t="str">
        <x:v>福建省福州第三中学</x:v>
      </x:c>
      <x:c r="G272" s="12" t="n">
        <x:f>SUM(H272:J272)+K272</x:f>
        <x:v>266</x:v>
      </x:c>
      <x:c r="H272" s="12" t="n">
        <x:v>100</x:v>
      </x:c>
      <x:c r="I272" s="12" t="n">
        <x:v>103</x:v>
      </x:c>
      <x:c r="J272" s="12" t="n">
        <x:v>58</x:v>
      </x:c>
      <x:c r="K272" s="12" t="n">
        <x:f>IF(D272="A",5,0)</x:f>
        <x:v>5</x:v>
      </x:c>
    </x:row>
    <x:row r="273" ht="30" customHeight="1">
      <x:c r="A273" s="11" t="n">
        <x:f>RANK.EQ(G273,$G$2:$G$334,0)</x:f>
        <x:v>272</x:v>
      </x:c>
      <x:c r="B273" s="7" t="str">
        <x:v>SD-018</x:v>
      </x:c>
      <x:c r="C273" s="7" t="str">
        <x:v>SD</x:v>
      </x:c>
      <x:c r="D273" s="7" t="str">
        <x:v>B</x:v>
      </x:c>
      <x:c r="E273" s="8" t="str">
        <x:v>柏紫凡</x:v>
      </x:c>
      <x:c r="F273" s="10" t="str">
        <x:v>烟台青华中学</x:v>
      </x:c>
      <x:c r="G273" s="12" t="n">
        <x:f>SUM(H273:J273)+K273</x:f>
        <x:v>265</x:v>
      </x:c>
      <x:c r="H273" s="12" t="n">
        <x:v>100</x:v>
      </x:c>
      <x:c r="I273" s="12" t="n">
        <x:v>75</x:v>
      </x:c>
      <x:c r="J273" s="12" t="n">
        <x:v>90</x:v>
      </x:c>
      <x:c r="K273" s="12" t="n">
        <x:f>IF(D273="A",5,0)</x:f>
        <x:v>0</x:v>
      </x:c>
    </x:row>
    <x:row r="274" ht="30" customHeight="1">
      <x:c r="A274" s="11" t="n">
        <x:f>RANK.EQ(G274,$G$2:$G$334,0)</x:f>
        <x:v>273</x:v>
      </x:c>
      <x:c r="B274" s="7" t="str">
        <x:v>HE-006</x:v>
      </x:c>
      <x:c r="C274" s="7" t="str">
        <x:v>HE</x:v>
      </x:c>
      <x:c r="D274" s="7" t="str">
        <x:v>B</x:v>
      </x:c>
      <x:c r="E274" s="8" t="str">
        <x:v>徐天泽</x:v>
      </x:c>
      <x:c r="F274" s="10" t="str">
        <x:v>石家庄市第二中学</x:v>
      </x:c>
      <x:c r="G274" s="12" t="n">
        <x:f>SUM(H274:J274)+K274</x:f>
        <x:v>264</x:v>
      </x:c>
      <x:c r="H274" s="12" t="n">
        <x:v>100</x:v>
      </x:c>
      <x:c r="I274" s="12" t="n">
        <x:v>29</x:v>
      </x:c>
      <x:c r="J274" s="12" t="n">
        <x:v>135</x:v>
      </x:c>
      <x:c r="K274" s="12" t="n">
        <x:f>IF(D274="A",5,0)</x:f>
        <x:v>0</x:v>
      </x:c>
    </x:row>
    <x:row r="275" ht="30" customHeight="1">
      <x:c r="A275" s="11" t="n">
        <x:f>RANK.EQ(G275,$G$2:$G$334,0)</x:f>
        <x:v>274</x:v>
      </x:c>
      <x:c r="B275" s="7" t="str">
        <x:v>ZJ-021</x:v>
      </x:c>
      <x:c r="C275" s="7" t="str">
        <x:v>ZJ</x:v>
      </x:c>
      <x:c r="D275" s="7" t="str">
        <x:v>B</x:v>
      </x:c>
      <x:c r="E275" s="8" t="str">
        <x:v>范玉祥</x:v>
      </x:c>
      <x:c r="F275" s="10" t="str">
        <x:v>绍兴市第一中学</x:v>
      </x:c>
      <x:c r="G275" s="12" t="n">
        <x:f>SUM(H275:J275)+K275</x:f>
        <x:v>261</x:v>
      </x:c>
      <x:c r="H275" s="12" t="n">
        <x:v>100</x:v>
      </x:c>
      <x:c r="I275" s="12" t="n">
        <x:v>63</x:v>
      </x:c>
      <x:c r="J275" s="12" t="n">
        <x:v>98</x:v>
      </x:c>
      <x:c r="K275" s="12" t="n">
        <x:f>IF(D275="A",5,0)</x:f>
        <x:v>0</x:v>
      </x:c>
    </x:row>
    <x:row r="276" ht="30" customHeight="1">
      <x:c r="A276" s="11" t="n">
        <x:f>RANK.EQ(G276,$G$2:$G$334,0)</x:f>
        <x:v>275</x:v>
      </x:c>
      <x:c r="B276" s="7" t="str">
        <x:v>NM-006</x:v>
      </x:c>
      <x:c r="C276" s="7" t="str">
        <x:v>NM</x:v>
      </x:c>
      <x:c r="D276" s="7" t="str">
        <x:v>B</x:v>
      </x:c>
      <x:c r="E276" s="8" t="str">
        <x:v>王天骄</x:v>
      </x:c>
      <x:c r="F276" s="10" t="str">
        <x:v>包头市第九中学</x:v>
      </x:c>
      <x:c r="G276" s="12" t="n">
        <x:f>SUM(H276:J276)+K276</x:f>
        <x:v>259</x:v>
      </x:c>
      <x:c r="H276" s="12" t="n">
        <x:v>100</x:v>
      </x:c>
      <x:c r="I276" s="12" t="n">
        <x:v>101</x:v>
      </x:c>
      <x:c r="J276" s="12" t="n">
        <x:v>58</x:v>
      </x:c>
      <x:c r="K276" s="12" t="n">
        <x:f>IF(D276="A",5,0)</x:f>
        <x:v>0</x:v>
      </x:c>
    </x:row>
    <x:row r="277" ht="30" customHeight="1">
      <x:c r="A277" s="11" t="n">
        <x:f>RANK.EQ(G277,$G$2:$G$334,0)</x:f>
        <x:v>276</x:v>
      </x:c>
      <x:c r="B277" s="7" t="str">
        <x:v>GZ-002</x:v>
      </x:c>
      <x:c r="C277" s="7" t="str">
        <x:v>GZ</x:v>
      </x:c>
      <x:c r="D277" s="7" t="str">
        <x:v>A</x:v>
      </x:c>
      <x:c r="E277" s="8" t="str">
        <x:v>孙宇宸</x:v>
      </x:c>
      <x:c r="F277" s="10" t="str">
        <x:v>贵阳市华师一学校</x:v>
      </x:c>
      <x:c r="G277" s="12" t="n">
        <x:f>SUM(H277:J277)+K277</x:f>
        <x:v>255</x:v>
      </x:c>
      <x:c r="H277" s="12" t="n">
        <x:v>100</x:v>
      </x:c>
      <x:c r="I277" s="12" t="n">
        <x:v>52</x:v>
      </x:c>
      <x:c r="J277" s="12" t="n">
        <x:v>98</x:v>
      </x:c>
      <x:c r="K277" s="12" t="n">
        <x:f>IF(D277="A",5,0)</x:f>
        <x:v>5</x:v>
      </x:c>
    </x:row>
    <x:row r="278" ht="30" customHeight="1">
      <x:c r="A278" s="11" t="n">
        <x:f>RANK.EQ(G278,$G$2:$G$334,0)</x:f>
        <x:v>277</x:v>
      </x:c>
      <x:c r="B278" s="7" t="str">
        <x:v>MO-003</x:v>
      </x:c>
      <x:c r="C278" s="7" t="str">
        <x:v>MO</x:v>
      </x:c>
      <x:c r="D278" s="7" t="str">
        <x:v>A</x:v>
      </x:c>
      <x:c r="E278" s="8" t="str">
        <x:v>李思賢</x:v>
      </x:c>
      <x:c r="F278" s="10" t="str">
        <x:v>培正中學</x:v>
      </x:c>
      <x:c r="G278" s="12" t="n">
        <x:f>SUM(H278:J278)+K278</x:f>
        <x:v>254</x:v>
      </x:c>
      <x:c r="H278" s="12" t="n">
        <x:v>100</x:v>
      </x:c>
      <x:c r="I278" s="12" t="n">
        <x:v>109</x:v>
      </x:c>
      <x:c r="J278" s="12" t="n">
        <x:v>40</x:v>
      </x:c>
      <x:c r="K278" s="12" t="n">
        <x:f>IF(D278="A",5,0)</x:f>
        <x:v>5</x:v>
      </x:c>
    </x:row>
    <x:row r="279" ht="30" customHeight="1">
      <x:c r="A279" s="11" t="n">
        <x:f>RANK.EQ(G279,$G$2:$G$334,0)</x:f>
        <x:v>278</x:v>
      </x:c>
      <x:c r="B279" s="7" t="str">
        <x:v>XJ-003</x:v>
      </x:c>
      <x:c r="C279" s="7" t="str">
        <x:v>XJ</x:v>
      </x:c>
      <x:c r="D279" s="7" t="str">
        <x:v>A</x:v>
      </x:c>
      <x:c r="E279" s="8" t="str">
        <x:v>唐乾栩</x:v>
      </x:c>
      <x:c r="F279" s="10" t="str">
        <x:v>乌鲁木齐市第一中学（绿谷校区高中部）</x:v>
      </x:c>
      <x:c r="G279" s="12" t="n">
        <x:f>SUM(H279:J279)+K279</x:f>
        <x:v>249</x:v>
      </x:c>
      <x:c r="H279" s="12" t="n">
        <x:v>100</x:v>
      </x:c>
      <x:c r="I279" s="12" t="n">
        <x:v>54</x:v>
      </x:c>
      <x:c r="J279" s="12" t="n">
        <x:v>90</x:v>
      </x:c>
      <x:c r="K279" s="12" t="n">
        <x:f>IF(D279="A",5,0)</x:f>
        <x:v>5</x:v>
      </x:c>
    </x:row>
    <x:row r="280" ht="30" customHeight="1">
      <x:c r="A280" s="11" t="n">
        <x:f>RANK.EQ(G280,$G$2:$G$334,0)</x:f>
        <x:v>279</x:v>
      </x:c>
      <x:c r="B280" s="7" t="str">
        <x:v>HL-004</x:v>
      </x:c>
      <x:c r="C280" s="7" t="str">
        <x:v>HL</x:v>
      </x:c>
      <x:c r="D280" s="7" t="str">
        <x:v>A</x:v>
      </x:c>
      <x:c r="E280" s="8" t="str">
        <x:v>王艺乔</x:v>
      </x:c>
      <x:c r="F280" s="10" t="str">
        <x:v>哈尔滨市第三中学校</x:v>
      </x:c>
      <x:c r="G280" s="12" t="n">
        <x:f>SUM(H280:J280)+K280</x:f>
        <x:v>248</x:v>
      </x:c>
      <x:c r="H280" s="12" t="n">
        <x:v>100</x:v>
      </x:c>
      <x:c r="I280" s="12" t="n">
        <x:v>70</x:v>
      </x:c>
      <x:c r="J280" s="12" t="n">
        <x:v>73</x:v>
      </x:c>
      <x:c r="K280" s="12" t="n">
        <x:f>IF(D280="A",5,0)</x:f>
        <x:v>5</x:v>
      </x:c>
    </x:row>
    <x:row r="281" ht="30" customHeight="1">
      <x:c r="A281" s="11" t="n">
        <x:f>RANK.EQ(G281,$G$2:$G$334,0)</x:f>
        <x:v>280</x:v>
      </x:c>
      <x:c r="B281" s="7" t="str">
        <x:v>LN-005</x:v>
      </x:c>
      <x:c r="C281" s="7" t="str">
        <x:v>LN</x:v>
      </x:c>
      <x:c r="D281" s="7" t="str">
        <x:v>A</x:v>
      </x:c>
      <x:c r="E281" s="8" t="str">
        <x:v>修涵</x:v>
      </x:c>
      <x:c r="F281" s="10" t="str">
        <x:v>大连市第二十四中学</x:v>
      </x:c>
      <x:c r="G281" s="12" t="n">
        <x:f>SUM(H281:J281)+K281</x:f>
        <x:v>245</x:v>
      </x:c>
      <x:c r="H281" s="12" t="n">
        <x:v>100</x:v>
      </x:c>
      <x:c r="I281" s="12" t="n">
        <x:v>42</x:v>
      </x:c>
      <x:c r="J281" s="12" t="n">
        <x:v>98</x:v>
      </x:c>
      <x:c r="K281" s="12" t="n">
        <x:f>IF(D281="A",5,0)</x:f>
        <x:v>5</x:v>
      </x:c>
    </x:row>
    <x:row r="282" ht="30" customHeight="1">
      <x:c r="A282" s="11" t="n">
        <x:f>RANK.EQ(G282,$G$2:$G$334,0)</x:f>
        <x:v>281</x:v>
      </x:c>
      <x:c r="B282" s="7" t="str">
        <x:v>NM-005</x:v>
      </x:c>
      <x:c r="C282" s="7" t="str">
        <x:v>NM</x:v>
      </x:c>
      <x:c r="D282" s="7" t="str">
        <x:v>A</x:v>
      </x:c>
      <x:c r="E282" s="8" t="str">
        <x:v>闫柏军</x:v>
      </x:c>
      <x:c r="F282" s="10" t="str">
        <x:v>鄂托克旗第一中学</x:v>
      </x:c>
      <x:c r="G282" s="12" t="n">
        <x:f>SUM(H282:J282)+K282</x:f>
        <x:v>241</x:v>
      </x:c>
      <x:c r="H282" s="12" t="n">
        <x:v>100</x:v>
      </x:c>
      <x:c r="I282" s="12" t="n">
        <x:v>58</x:v>
      </x:c>
      <x:c r="J282" s="12" t="n">
        <x:v>78</x:v>
      </x:c>
      <x:c r="K282" s="12" t="n">
        <x:f>IF(D282="A",5,0)</x:f>
        <x:v>5</x:v>
      </x:c>
    </x:row>
    <x:row r="283" ht="30" customHeight="1">
      <x:c r="A283" s="11" t="n">
        <x:f>RANK.EQ(G283,$G$2:$G$334,0)</x:f>
        <x:v>282</x:v>
      </x:c>
      <x:c r="B283" s="7" t="str">
        <x:v>XJ-005</x:v>
      </x:c>
      <x:c r="C283" s="7" t="str">
        <x:v>XJ</x:v>
      </x:c>
      <x:c r="D283" s="7" t="str">
        <x:v>A</x:v>
      </x:c>
      <x:c r="E283" s="8" t="str">
        <x:v>郑子良</x:v>
      </x:c>
      <x:c r="F283" s="10" t="str">
        <x:v>乌鲁木齐市第一中学（绿谷校区高中部）</x:v>
      </x:c>
      <x:c r="G283" s="12" t="n">
        <x:f>SUM(H283:J283)+K283</x:f>
        <x:v>238</x:v>
      </x:c>
      <x:c r="H283" s="12" t="n">
        <x:v>100</x:v>
      </x:c>
      <x:c r="I283" s="12" t="n">
        <x:v>78</x:v>
      </x:c>
      <x:c r="J283" s="12" t="n">
        <x:v>55</x:v>
      </x:c>
      <x:c r="K283" s="12" t="n">
        <x:f>IF(D283="A",5,0)</x:f>
        <x:v>5</x:v>
      </x:c>
    </x:row>
    <x:row r="284" ht="30" customHeight="1">
      <x:c r="A284" s="11" t="n">
        <x:f>RANK.EQ(G284,$G$2:$G$334,0)</x:f>
        <x:v>283</x:v>
      </x:c>
      <x:c r="B284" s="7" t="str">
        <x:v>GD-011</x:v>
      </x:c>
      <x:c r="C284" s="7" t="str">
        <x:v>GD</x:v>
      </x:c>
      <x:c r="D284" s="7" t="str">
        <x:v>B</x:v>
      </x:c>
      <x:c r="E284" s="8" t="str">
        <x:v>吕林熹</x:v>
      </x:c>
      <x:c r="F284" s="10" t="str">
        <x:v>华南师范大学附属中学</x:v>
      </x:c>
      <x:c r="G284" s="12" t="n">
        <x:f>SUM(H284:J284)+K284</x:f>
        <x:v>232</x:v>
      </x:c>
      <x:c r="H284" s="12" t="n">
        <x:v>100</x:v>
      </x:c>
      <x:c r="I284" s="12" t="n">
        <x:v>62</x:v>
      </x:c>
      <x:c r="J284" s="12" t="n">
        <x:v>70</x:v>
      </x:c>
      <x:c r="K284" s="12" t="n">
        <x:f>IF(D284="A",5,0)</x:f>
        <x:v>0</x:v>
      </x:c>
    </x:row>
    <x:row r="285" ht="30" customHeight="1">
      <x:c r="A285" s="11" t="n">
        <x:f>RANK.EQ(G285,$G$2:$G$334,0)</x:f>
        <x:v>283</x:v>
      </x:c>
      <x:c r="B285" s="7" t="str">
        <x:v>SX-002</x:v>
      </x:c>
      <x:c r="C285" s="7" t="str">
        <x:v>SX</x:v>
      </x:c>
      <x:c r="D285" s="7" t="str">
        <x:v>A</x:v>
      </x:c>
      <x:c r="E285" s="8" t="str">
        <x:v>周志豪</x:v>
      </x:c>
      <x:c r="F285" s="10" t="str">
        <x:v>山西大学附属中学校</x:v>
      </x:c>
      <x:c r="G285" s="12" t="n">
        <x:f>SUM(H285:J285)+K285</x:f>
        <x:v>232</x:v>
      </x:c>
      <x:c r="H285" s="12" t="n">
        <x:v>99</x:v>
      </x:c>
      <x:c r="I285" s="12" t="n">
        <x:v>24</x:v>
      </x:c>
      <x:c r="J285" s="12" t="n">
        <x:v>104</x:v>
      </x:c>
      <x:c r="K285" s="12" t="n">
        <x:f>IF(D285="A",5,0)</x:f>
        <x:v>5</x:v>
      </x:c>
    </x:row>
    <x:row r="286" ht="30" customHeight="1">
      <x:c r="A286" s="11" t="n">
        <x:f>RANK.EQ(G286,$G$2:$G$334,0)</x:f>
        <x:v>285</x:v>
      </x:c>
      <x:c r="B286" s="7" t="str">
        <x:v>HN-003</x:v>
      </x:c>
      <x:c r="C286" s="7" t="str">
        <x:v>HN</x:v>
      </x:c>
      <x:c r="D286" s="7" t="str">
        <x:v>A</x:v>
      </x:c>
      <x:c r="E286" s="8" t="str">
        <x:v>胡蝶</x:v>
      </x:c>
      <x:c r="F286" s="10" t="str">
        <x:v>长沙市长郡中学</x:v>
      </x:c>
      <x:c r="G286" s="12" t="n">
        <x:f>SUM(H286:J286)+K286</x:f>
        <x:v>231</x:v>
      </x:c>
      <x:c r="H286" s="12" t="n">
        <x:v>100</x:v>
      </x:c>
      <x:c r="I286" s="12" t="n">
        <x:v>52</x:v>
      </x:c>
      <x:c r="J286" s="12" t="n">
        <x:v>74</x:v>
      </x:c>
      <x:c r="K286" s="12" t="n">
        <x:f>IF(D286="A",5,0)</x:f>
        <x:v>5</x:v>
      </x:c>
    </x:row>
    <x:row r="287" ht="30" customHeight="1">
      <x:c r="A287" s="11" t="n">
        <x:f>RANK.EQ(G287,$G$2:$G$334,0)</x:f>
        <x:v>285</x:v>
      </x:c>
      <x:c r="B287" s="7" t="str">
        <x:v>XJ-007</x:v>
      </x:c>
      <x:c r="C287" s="7" t="str">
        <x:v>XJ</x:v>
      </x:c>
      <x:c r="D287" s="7" t="str">
        <x:v>B</x:v>
      </x:c>
      <x:c r="E287" s="8" t="str">
        <x:v>杨思远</x:v>
      </x:c>
      <x:c r="F287" s="10" t="str">
        <x:v>乌鲁木齐市华兵实验中学</x:v>
      </x:c>
      <x:c r="G287" s="12" t="n">
        <x:f>SUM(H287:J287)+K287</x:f>
        <x:v>231</x:v>
      </x:c>
      <x:c r="H287" s="12" t="n">
        <x:v>100</x:v>
      </x:c>
      <x:c r="I287" s="12" t="n">
        <x:v>78</x:v>
      </x:c>
      <x:c r="J287" s="12" t="n">
        <x:v>53</x:v>
      </x:c>
      <x:c r="K287" s="12" t="n">
        <x:f>IF(D287="A",5,0)</x:f>
        <x:v>0</x:v>
      </x:c>
    </x:row>
    <x:row r="288" ht="30" customHeight="1">
      <x:c r="A288" s="11" t="n">
        <x:f>RANK.EQ(G288,$G$2:$G$334,0)</x:f>
        <x:v>287</x:v>
      </x:c>
      <x:c r="B288" s="7" t="str">
        <x:v>AH-005</x:v>
      </x:c>
      <x:c r="C288" s="7" t="str">
        <x:v>AH</x:v>
      </x:c>
      <x:c r="D288" s="7" t="str">
        <x:v>A</x:v>
      </x:c>
      <x:c r="E288" s="8" t="str">
        <x:v>孙梓珊</x:v>
      </x:c>
      <x:c r="F288" s="10" t="str">
        <x:v>安徽师范大学附属中学</x:v>
      </x:c>
      <x:c r="G288" s="12" t="n">
        <x:f>SUM(H288:J288)+K288</x:f>
        <x:v>222</x:v>
      </x:c>
      <x:c r="H288" s="12" t="n">
        <x:v>100</x:v>
      </x:c>
      <x:c r="I288" s="12" t="n">
        <x:v>28</x:v>
      </x:c>
      <x:c r="J288" s="12" t="n">
        <x:v>89</x:v>
      </x:c>
      <x:c r="K288" s="12" t="n">
        <x:f>IF(D288="A",5,0)</x:f>
        <x:v>5</x:v>
      </x:c>
    </x:row>
    <x:row r="289" ht="30" customHeight="1">
      <x:c r="A289" s="11" t="n">
        <x:f>RANK.EQ(G289,$G$2:$G$334,0)</x:f>
        <x:v>288</x:v>
      </x:c>
      <x:c r="B289" s="7" t="str">
        <x:v>YN-007</x:v>
      </x:c>
      <x:c r="C289" s="7" t="str">
        <x:v>YN</x:v>
      </x:c>
      <x:c r="D289" s="7" t="str">
        <x:v>B</x:v>
      </x:c>
      <x:c r="E289" s="8" t="str">
        <x:v>闫斯博</x:v>
      </x:c>
      <x:c r="F289" s="10" t="str">
        <x:v>蒙自实验中学</x:v>
      </x:c>
      <x:c r="G289" s="12" t="n">
        <x:f>SUM(H289:J289)+K289</x:f>
        <x:v>215</x:v>
      </x:c>
      <x:c r="H289" s="12" t="n">
        <x:v>100</x:v>
      </x:c>
      <x:c r="I289" s="12" t="n">
        <x:v>45</x:v>
      </x:c>
      <x:c r="J289" s="12" t="n">
        <x:v>70</x:v>
      </x:c>
      <x:c r="K289" s="12" t="n">
        <x:f>IF(D289="A",5,0)</x:f>
        <x:v>0</x:v>
      </x:c>
    </x:row>
    <x:row r="290" ht="30" customHeight="1">
      <x:c r="A290" s="11" t="n">
        <x:f>RANK.EQ(G290,$G$2:$G$334,0)</x:f>
        <x:v>289</x:v>
      </x:c>
      <x:c r="B290" s="7" t="str">
        <x:v>JX-005</x:v>
      </x:c>
      <x:c r="C290" s="7" t="str">
        <x:v>JX</x:v>
      </x:c>
      <x:c r="D290" s="7" t="str">
        <x:v>A</x:v>
      </x:c>
      <x:c r="E290" s="8" t="str">
        <x:v>陈聆心</x:v>
      </x:c>
      <x:c r="F290" s="10" t="str">
        <x:v>南昌市第二中学</x:v>
      </x:c>
      <x:c r="G290" s="12" t="n">
        <x:f>SUM(H290:J290)+K290</x:f>
        <x:v>209</x:v>
      </x:c>
      <x:c r="H290" s="12" t="n">
        <x:v>100</x:v>
      </x:c>
      <x:c r="I290" s="12" t="n">
        <x:v>34</x:v>
      </x:c>
      <x:c r="J290" s="12" t="n">
        <x:v>70</x:v>
      </x:c>
      <x:c r="K290" s="12" t="n">
        <x:f>IF(D290="A",5,0)</x:f>
        <x:v>5</x:v>
      </x:c>
    </x:row>
    <x:row r="291" ht="30" customHeight="1">
      <x:c r="A291" s="11" t="n">
        <x:f>RANK.EQ(G291,$G$2:$G$334,0)</x:f>
        <x:v>289</x:v>
      </x:c>
      <x:c r="B291" s="7" t="str">
        <x:v>YN-006</x:v>
      </x:c>
      <x:c r="C291" s="7" t="str">
        <x:v>YN</x:v>
      </x:c>
      <x:c r="D291" s="7" t="str">
        <x:v>B</x:v>
      </x:c>
      <x:c r="E291" s="8" t="str">
        <x:v>靳函</x:v>
      </x:c>
      <x:c r="F291" s="10" t="str">
        <x:v>云南省昆明市第十中学</x:v>
      </x:c>
      <x:c r="G291" s="12" t="n">
        <x:f>SUM(H291:J291)+K291</x:f>
        <x:v>209</x:v>
      </x:c>
      <x:c r="H291" s="12" t="n">
        <x:v>100</x:v>
      </x:c>
      <x:c r="I291" s="12" t="n">
        <x:v>39</x:v>
      </x:c>
      <x:c r="J291" s="12" t="n">
        <x:v>70</x:v>
      </x:c>
      <x:c r="K291" s="12" t="n">
        <x:f>IF(D291="A",5,0)</x:f>
        <x:v>0</x:v>
      </x:c>
    </x:row>
    <x:row r="292" ht="30" customHeight="1">
      <x:c r="A292" s="11" t="n">
        <x:f>RANK.EQ(G292,$G$2:$G$334,0)</x:f>
        <x:v>291</x:v>
      </x:c>
      <x:c r="B292" s="7" t="str">
        <x:v>TJ-007</x:v>
      </x:c>
      <x:c r="C292" s="7" t="str">
        <x:v>TJ</x:v>
      </x:c>
      <x:c r="D292" s="7" t="str">
        <x:v>B</x:v>
      </x:c>
      <x:c r="E292" s="8" t="str">
        <x:v>孙致远</x:v>
      </x:c>
      <x:c r="F292" s="10" t="str">
        <x:v>天津市武清区杨村第一中学</x:v>
      </x:c>
      <x:c r="G292" s="12" t="n">
        <x:f>SUM(H292:J292)+K292</x:f>
        <x:v>207</x:v>
      </x:c>
      <x:c r="H292" s="12" t="n">
        <x:v>99</x:v>
      </x:c>
      <x:c r="I292" s="12" t="n">
        <x:v>8</x:v>
      </x:c>
      <x:c r="J292" s="12" t="n">
        <x:v>100</x:v>
      </x:c>
      <x:c r="K292" s="12" t="n">
        <x:f>IF(D292="A",5,0)</x:f>
        <x:v>0</x:v>
      </x:c>
    </x:row>
    <x:row r="293" ht="30" customHeight="1">
      <x:c r="A293" s="11" t="n">
        <x:f>RANK.EQ(G293,$G$2:$G$334,0)</x:f>
        <x:v>292</x:v>
      </x:c>
      <x:c r="B293" s="7" t="str">
        <x:v>ZJ-016</x:v>
      </x:c>
      <x:c r="C293" s="7" t="str">
        <x:v>ZJ</x:v>
      </x:c>
      <x:c r="D293" s="7" t="str">
        <x:v>B</x:v>
      </x:c>
      <x:c r="E293" s="8" t="str">
        <x:v>余秋凝</x:v>
      </x:c>
      <x:c r="F293" s="10" t="str">
        <x:v>浙江省温州中学</x:v>
      </x:c>
      <x:c r="G293" s="12" t="n">
        <x:f>SUM(H293:J293)+K293</x:f>
        <x:v>206</x:v>
      </x:c>
      <x:c r="H293" s="12" t="n">
        <x:v>100</x:v>
      </x:c>
      <x:c r="I293" s="12" t="n">
        <x:v>42</x:v>
      </x:c>
      <x:c r="J293" s="12" t="n">
        <x:v>64</x:v>
      </x:c>
      <x:c r="K293" s="12" t="n">
        <x:f>IF(D293="A",5,0)</x:f>
        <x:v>0</x:v>
      </x:c>
    </x:row>
    <x:row r="294" ht="30" customHeight="1">
      <x:c r="A294" s="11" t="n">
        <x:f>RANK.EQ(G294,$G$2:$G$334,0)</x:f>
        <x:v>293</x:v>
      </x:c>
      <x:c r="B294" s="7" t="str">
        <x:v>NX-001</x:v>
      </x:c>
      <x:c r="C294" s="7" t="str">
        <x:v>NX</x:v>
      </x:c>
      <x:c r="D294" s="7" t="str">
        <x:v>A</x:v>
      </x:c>
      <x:c r="E294" s="8" t="str">
        <x:v>王梓涵</x:v>
      </x:c>
      <x:c r="F294" s="10" t="str">
        <x:v>宁夏银川一中</x:v>
      </x:c>
      <x:c r="G294" s="12" t="n">
        <x:f>SUM(H294:J294)+K294</x:f>
        <x:v>205</x:v>
      </x:c>
      <x:c r="H294" s="12" t="n">
        <x:v>99</x:v>
      </x:c>
      <x:c r="I294" s="12" t="n">
        <x:v>62</x:v>
      </x:c>
      <x:c r="J294" s="12" t="n">
        <x:v>39</x:v>
      </x:c>
      <x:c r="K294" s="12" t="n">
        <x:f>IF(D294="A",5,0)</x:f>
        <x:v>5</x:v>
      </x:c>
    </x:row>
    <x:row r="295" ht="30" customHeight="1">
      <x:c r="A295" s="11" t="n">
        <x:f>RANK.EQ(G295,$G$2:$G$334,0)</x:f>
        <x:v>294</x:v>
      </x:c>
      <x:c r="B295" s="7" t="str">
        <x:v>HI-007</x:v>
      </x:c>
      <x:c r="C295" s="7" t="str">
        <x:v>HI</x:v>
      </x:c>
      <x:c r="D295" s="7" t="str">
        <x:v>B</x:v>
      </x:c>
      <x:c r="E295" s="8" t="str">
        <x:v>胡家华</x:v>
      </x:c>
      <x:c r="F295" s="10" t="str">
        <x:v>中国人民大学附属中学三亚学校</x:v>
      </x:c>
      <x:c r="G295" s="12" t="n">
        <x:f>SUM(H295:J295)+K295</x:f>
        <x:v>204</x:v>
      </x:c>
      <x:c r="H295" s="12" t="n">
        <x:v>100</x:v>
      </x:c>
      <x:c r="I295" s="12" t="n">
        <x:v>26</x:v>
      </x:c>
      <x:c r="J295" s="12" t="n">
        <x:v>78</x:v>
      </x:c>
      <x:c r="K295" s="12" t="n">
        <x:f>IF(D295="A",5,0)</x:f>
        <x:v>0</x:v>
      </x:c>
    </x:row>
    <x:row r="296" ht="30" customHeight="1">
      <x:c r="A296" s="11" t="n">
        <x:f>RANK.EQ(G296,$G$2:$G$334,0)</x:f>
        <x:v>294</x:v>
      </x:c>
      <x:c r="B296" s="7" t="str">
        <x:v>SX-007</x:v>
      </x:c>
      <x:c r="C296" s="7" t="str">
        <x:v>SX</x:v>
      </x:c>
      <x:c r="D296" s="7" t="str">
        <x:v>B</x:v>
      </x:c>
      <x:c r="E296" s="8" t="str">
        <x:v>杜成竹</x:v>
      </x:c>
      <x:c r="F296" s="10" t="str">
        <x:v>太原市第五中学校</x:v>
      </x:c>
      <x:c r="G296" s="12" t="n">
        <x:f>SUM(H296:J296)+K296</x:f>
        <x:v>204</x:v>
      </x:c>
      <x:c r="H296" s="12" t="n">
        <x:v>99</x:v>
      </x:c>
      <x:c r="I296" s="12" t="n">
        <x:v>45</x:v>
      </x:c>
      <x:c r="J296" s="12" t="n">
        <x:v>60</x:v>
      </x:c>
      <x:c r="K296" s="12" t="n">
        <x:f>IF(D296="A",5,0)</x:f>
        <x:v>0</x:v>
      </x:c>
    </x:row>
    <x:row r="297" ht="30" customHeight="1">
      <x:c r="A297" s="11" t="n">
        <x:f>RANK.EQ(G297,$G$2:$G$334,0)</x:f>
        <x:v>296</x:v>
      </x:c>
      <x:c r="B297" s="7" t="str">
        <x:v>SH-005</x:v>
      </x:c>
      <x:c r="C297" s="7" t="str">
        <x:v>SH</x:v>
      </x:c>
      <x:c r="D297" s="7" t="str">
        <x:v>A</x:v>
      </x:c>
      <x:c r="E297" s="8" t="str">
        <x:v>闻艺琳</x:v>
      </x:c>
      <x:c r="F297" s="10" t="str">
        <x:v>上海市上海中学</x:v>
      </x:c>
      <x:c r="G297" s="12" t="n">
        <x:f>SUM(H297:J297)+K297</x:f>
        <x:v>203</x:v>
      </x:c>
      <x:c r="H297" s="12" t="n">
        <x:v>100</x:v>
      </x:c>
      <x:c r="I297" s="12" t="n">
        <x:v>39</x:v>
      </x:c>
      <x:c r="J297" s="12" t="n">
        <x:v>59</x:v>
      </x:c>
      <x:c r="K297" s="12" t="n">
        <x:f>IF(D297="A",5,0)</x:f>
        <x:v>5</x:v>
      </x:c>
    </x:row>
    <x:row r="298" ht="30" customHeight="1">
      <x:c r="A298" s="11" t="n">
        <x:f>RANK.EQ(G298,$G$2:$G$334,0)</x:f>
        <x:v>297</x:v>
      </x:c>
      <x:c r="B298" s="7" t="str">
        <x:v>GX-002</x:v>
      </x:c>
      <x:c r="C298" s="7" t="str">
        <x:v>GX</x:v>
      </x:c>
      <x:c r="D298" s="7" t="str">
        <x:v>A</x:v>
      </x:c>
      <x:c r="E298" s="8" t="str">
        <x:v>陈俊伟</x:v>
      </x:c>
      <x:c r="F298" s="10" t="str">
        <x:v>柳州铁一中学</x:v>
      </x:c>
      <x:c r="G298" s="12" t="n">
        <x:f>SUM(H298:J298)+K298</x:f>
        <x:v>201</x:v>
      </x:c>
      <x:c r="H298" s="12" t="n">
        <x:v>100</x:v>
      </x:c>
      <x:c r="I298" s="12" t="n">
        <x:v>36</x:v>
      </x:c>
      <x:c r="J298" s="12" t="n">
        <x:v>60</x:v>
      </x:c>
      <x:c r="K298" s="12" t="n">
        <x:f>IF(D298="A",5,0)</x:f>
        <x:v>5</x:v>
      </x:c>
    </x:row>
    <x:row r="299" ht="30" customHeight="1">
      <x:c r="A299" s="11" t="n">
        <x:f>RANK.EQ(G299,$G$2:$G$334,0)</x:f>
        <x:v>298</x:v>
      </x:c>
      <x:c r="B299" s="7" t="str">
        <x:v>MO-002</x:v>
      </x:c>
      <x:c r="C299" s="7" t="str">
        <x:v>MO</x:v>
      </x:c>
      <x:c r="D299" s="7" t="str">
        <x:v>A</x:v>
      </x:c>
      <x:c r="E299" s="8" t="str">
        <x:v>杜澤誠</x:v>
      </x:c>
      <x:c r="F299" s="10" t="str">
        <x:v>培正中學</x:v>
      </x:c>
      <x:c r="G299" s="12" t="n">
        <x:f>SUM(H299:J299)+K299</x:f>
        <x:v>189</x:v>
      </x:c>
      <x:c r="H299" s="12" t="n">
        <x:v>98</x:v>
      </x:c>
      <x:c r="I299" s="12" t="n">
        <x:v>16</x:v>
      </x:c>
      <x:c r="J299" s="12" t="n">
        <x:v>70</x:v>
      </x:c>
      <x:c r="K299" s="12" t="n">
        <x:f>IF(D299="A",5,0)</x:f>
        <x:v>5</x:v>
      </x:c>
    </x:row>
    <x:row r="300" ht="30" customHeight="1">
      <x:c r="A300" s="11" t="n">
        <x:f>RANK.EQ(G300,$G$2:$G$334,0)</x:f>
        <x:v>299</x:v>
      </x:c>
      <x:c r="B300" s="7" t="str">
        <x:v>MO-004</x:v>
      </x:c>
      <x:c r="C300" s="7" t="str">
        <x:v>MO</x:v>
      </x:c>
      <x:c r="D300" s="7" t="str">
        <x:v>A</x:v>
      </x:c>
      <x:c r="E300" s="8" t="str">
        <x:v>關智謙</x:v>
      </x:c>
      <x:c r="F300" s="10" t="str">
        <x:v>勞校中學</x:v>
      </x:c>
      <x:c r="G300" s="12" t="n">
        <x:f>SUM(H300:J300)+K300</x:f>
        <x:v>186</x:v>
      </x:c>
      <x:c r="H300" s="12" t="n">
        <x:v>98</x:v>
      </x:c>
      <x:c r="I300" s="12" t="n">
        <x:v>40</x:v>
      </x:c>
      <x:c r="J300" s="12" t="n">
        <x:v>43</x:v>
      </x:c>
      <x:c r="K300" s="12" t="n">
        <x:f>IF(D300="A",5,0)</x:f>
        <x:v>5</x:v>
      </x:c>
    </x:row>
    <x:row r="301" ht="30" customHeight="1">
      <x:c r="A301" s="11" t="n">
        <x:f>RANK.EQ(G301,$G$2:$G$334,0)</x:f>
        <x:v>300</x:v>
      </x:c>
      <x:c r="B301" s="7" t="str">
        <x:v>JL-006</x:v>
      </x:c>
      <x:c r="C301" s="7" t="str">
        <x:v>JL</x:v>
      </x:c>
      <x:c r="D301" s="7" t="str">
        <x:v>B</x:v>
      </x:c>
      <x:c r="E301" s="8" t="str">
        <x:v>李东霖</x:v>
      </x:c>
      <x:c r="F301" s="10" t="str">
        <x:v>长春市十一高中</x:v>
      </x:c>
      <x:c r="G301" s="12" t="n">
        <x:f>SUM(H301:J301)+K301</x:f>
        <x:v>180</x:v>
      </x:c>
      <x:c r="H301" s="12" t="n">
        <x:v>99</x:v>
      </x:c>
      <x:c r="I301" s="12" t="n">
        <x:v>42</x:v>
      </x:c>
      <x:c r="J301" s="12" t="n">
        <x:v>39</x:v>
      </x:c>
      <x:c r="K301" s="12" t="n">
        <x:f>IF(D301="A",5,0)</x:f>
        <x:v>0</x:v>
      </x:c>
    </x:row>
    <x:row r="302" ht="30" customHeight="1">
      <x:c r="A302" s="11" t="n">
        <x:f>RANK.EQ(G302,$G$2:$G$334,0)</x:f>
        <x:v>301</x:v>
      </x:c>
      <x:c r="B302" s="7" t="str">
        <x:v>HL-007</x:v>
      </x:c>
      <x:c r="C302" s="7" t="str">
        <x:v>HL</x:v>
      </x:c>
      <x:c r="D302" s="7" t="str">
        <x:v>B</x:v>
      </x:c>
      <x:c r="E302" s="8" t="str">
        <x:v>周慧宸</x:v>
      </x:c>
      <x:c r="F302" s="10" t="str">
        <x:v>齐齐哈尔市实验中学</x:v>
      </x:c>
      <x:c r="G302" s="12" t="n">
        <x:f>SUM(H302:J302)+K302</x:f>
        <x:v>173</x:v>
      </x:c>
      <x:c r="H302" s="12" t="n">
        <x:v>100</x:v>
      </x:c>
      <x:c r="I302" s="12" t="n">
        <x:v>43</x:v>
      </x:c>
      <x:c r="J302" s="12" t="n">
        <x:v>30</x:v>
      </x:c>
      <x:c r="K302" s="12" t="n">
        <x:f>IF(D302="A",5,0)</x:f>
        <x:v>0</x:v>
      </x:c>
    </x:row>
    <x:row r="303" ht="30" customHeight="1">
      <x:c r="A303" s="11" t="n">
        <x:f>RANK.EQ(G303,$G$2:$G$334,0)</x:f>
        <x:v>302</x:v>
      </x:c>
      <x:c r="B303" s="7" t="str">
        <x:v>XJ-006</x:v>
      </x:c>
      <x:c r="C303" s="7" t="str">
        <x:v>XJ</x:v>
      </x:c>
      <x:c r="D303" s="7" t="str">
        <x:v>B</x:v>
      </x:c>
      <x:c r="E303" s="8" t="str">
        <x:v>吴一帆</x:v>
      </x:c>
      <x:c r="F303" s="10" t="str">
        <x:v>新疆生产建设兵团第二中学</x:v>
      </x:c>
      <x:c r="G303" s="12" t="n">
        <x:f>SUM(H303:J303)+K303</x:f>
        <x:v>170</x:v>
      </x:c>
      <x:c r="H303" s="12" t="n">
        <x:v>100</x:v>
      </x:c>
      <x:c r="I303" s="12" t="n">
        <x:v>36</x:v>
      </x:c>
      <x:c r="J303" s="12" t="n">
        <x:v>34</x:v>
      </x:c>
      <x:c r="K303" s="12" t="n">
        <x:f>IF(D303="A",5,0)</x:f>
        <x:v>0</x:v>
      </x:c>
    </x:row>
    <x:row r="304" ht="30" customHeight="1">
      <x:c r="A304" s="11" t="n">
        <x:f>RANK.EQ(G304,$G$2:$G$334,0)</x:f>
        <x:v>303</x:v>
      </x:c>
      <x:c r="B304" s="7" t="str">
        <x:v>XJ-004</x:v>
      </x:c>
      <x:c r="C304" s="7" t="str">
        <x:v>XJ</x:v>
      </x:c>
      <x:c r="D304" s="7" t="str">
        <x:v>A</x:v>
      </x:c>
      <x:c r="E304" s="8" t="str">
        <x:v>苏远希</x:v>
      </x:c>
      <x:c r="F304" s="10" t="str">
        <x:v>乌鲁木齐市第一中学（绿谷校区高中部）</x:v>
      </x:c>
      <x:c r="G304" s="12" t="n">
        <x:f>SUM(H304:J304)+K304</x:f>
        <x:v>164</x:v>
      </x:c>
      <x:c r="H304" s="12" t="n">
        <x:v>99</x:v>
      </x:c>
      <x:c r="I304" s="12" t="n">
        <x:v>20</x:v>
      </x:c>
      <x:c r="J304" s="12" t="n">
        <x:v>40</x:v>
      </x:c>
      <x:c r="K304" s="12" t="n">
        <x:f>IF(D304="A",5,0)</x:f>
        <x:v>5</x:v>
      </x:c>
    </x:row>
    <x:row r="305" ht="30" customHeight="1">
      <x:c r="A305" s="11" t="n">
        <x:f>RANK.EQ(G305,$G$2:$G$334,0)</x:f>
        <x:v>304</x:v>
      </x:c>
      <x:c r="B305" s="7" t="str">
        <x:v>HL-005</x:v>
      </x:c>
      <x:c r="C305" s="7" t="str">
        <x:v>HL</x:v>
      </x:c>
      <x:c r="D305" s="7" t="str">
        <x:v>A</x:v>
      </x:c>
      <x:c r="E305" s="8" t="str">
        <x:v>关静仪</x:v>
      </x:c>
      <x:c r="F305" s="10" t="str">
        <x:v>鸡西市第一中学校</x:v>
      </x:c>
      <x:c r="G305" s="12" t="n">
        <x:f>SUM(H305:J305)+K305</x:f>
        <x:v>163</x:v>
      </x:c>
      <x:c r="H305" s="12" t="n">
        <x:v>98</x:v>
      </x:c>
      <x:c r="I305" s="12" t="n">
        <x:v>20</x:v>
      </x:c>
      <x:c r="J305" s="12" t="n">
        <x:v>40</x:v>
      </x:c>
      <x:c r="K305" s="12" t="n">
        <x:f>IF(D305="A",5,0)</x:f>
        <x:v>5</x:v>
      </x:c>
    </x:row>
    <x:row r="306" ht="30" customHeight="1">
      <x:c r="A306" s="11" t="n">
        <x:f>RANK.EQ(G306,$G$2:$G$334,0)</x:f>
        <x:v>305</x:v>
      </x:c>
      <x:c r="B306" s="7" t="str">
        <x:v>TJ-005</x:v>
      </x:c>
      <x:c r="C306" s="7" t="str">
        <x:v>TJ</x:v>
      </x:c>
      <x:c r="D306" s="7" t="str">
        <x:v>A</x:v>
      </x:c>
      <x:c r="E306" s="8" t="str">
        <x:v>刘星佑</x:v>
      </x:c>
      <x:c r="F306" s="10" t="str">
        <x:v>天津市新华中学</x:v>
      </x:c>
      <x:c r="G306" s="12" t="n">
        <x:f>SUM(H306:J306)+K306</x:f>
        <x:v>162</x:v>
      </x:c>
      <x:c r="H306" s="12" t="n">
        <x:v>99</x:v>
      </x:c>
      <x:c r="I306" s="12" t="n">
        <x:v>30</x:v>
      </x:c>
      <x:c r="J306" s="12" t="n">
        <x:v>28</x:v>
      </x:c>
      <x:c r="K306" s="12" t="n">
        <x:f>IF(D306="A",5,0)</x:f>
        <x:v>5</x:v>
      </x:c>
    </x:row>
    <x:row r="307" ht="30" customHeight="1">
      <x:c r="A307" s="11" t="n">
        <x:f>RANK.EQ(G307,$G$2:$G$334,0)</x:f>
        <x:v>306</x:v>
      </x:c>
      <x:c r="B307" s="7" t="str">
        <x:v>YN-003</x:v>
      </x:c>
      <x:c r="C307" s="7" t="str">
        <x:v>YN</x:v>
      </x:c>
      <x:c r="D307" s="7" t="str">
        <x:v>A</x:v>
      </x:c>
      <x:c r="E307" s="8" t="str">
        <x:v>蒋丁灿</x:v>
      </x:c>
      <x:c r="F307" s="10" t="str">
        <x:v>昆明市第八中学</x:v>
      </x:c>
      <x:c r="G307" s="12" t="n">
        <x:f>SUM(H307:J307)+K307</x:f>
        <x:v>159</x:v>
      </x:c>
      <x:c r="H307" s="12" t="n">
        <x:v>96</x:v>
      </x:c>
      <x:c r="I307" s="12" t="n">
        <x:v>38</x:v>
      </x:c>
      <x:c r="J307" s="12" t="n">
        <x:v>20</x:v>
      </x:c>
      <x:c r="K307" s="12" t="n">
        <x:f>IF(D307="A",5,0)</x:f>
        <x:v>5</x:v>
      </x:c>
    </x:row>
    <x:row r="308" ht="30" customHeight="1">
      <x:c r="A308" s="11" t="n">
        <x:f>RANK.EQ(G308,$G$2:$G$334,0)</x:f>
        <x:v>307</x:v>
      </x:c>
      <x:c r="B308" s="7" t="str">
        <x:v>GX-005</x:v>
      </x:c>
      <x:c r="C308" s="7" t="str">
        <x:v>GX</x:v>
      </x:c>
      <x:c r="D308" s="7" t="str">
        <x:v>A</x:v>
      </x:c>
      <x:c r="E308" s="8" t="str">
        <x:v>刘昭妤</x:v>
      </x:c>
      <x:c r="F308" s="10" t="str">
        <x:v>柳州铁一中学</x:v>
      </x:c>
      <x:c r="G308" s="12" t="n">
        <x:f>SUM(H308:J308)+K308</x:f>
        <x:v>158</x:v>
      </x:c>
      <x:c r="H308" s="12" t="n">
        <x:v>100</x:v>
      </x:c>
      <x:c r="I308" s="12" t="n">
        <x:v>23</x:v>
      </x:c>
      <x:c r="J308" s="12" t="n">
        <x:v>30</x:v>
      </x:c>
      <x:c r="K308" s="12" t="n">
        <x:f>IF(D308="A",5,0)</x:f>
        <x:v>5</x:v>
      </x:c>
    </x:row>
    <x:row r="309" ht="30" customHeight="1">
      <x:c r="A309" s="11" t="n">
        <x:f>RANK.EQ(G309,$G$2:$G$334,0)</x:f>
        <x:v>308</x:v>
      </x:c>
      <x:c r="B309" s="7" t="str">
        <x:v>HK-005</x:v>
      </x:c>
      <x:c r="C309" s="7" t="str">
        <x:v>HK</x:v>
      </x:c>
      <x:c r="D309" s="7" t="str">
        <x:v>A</x:v>
      </x:c>
      <x:c r="E309" s="8" t="str">
        <x:v>梁煦悠</x:v>
      </x:c>
      <x:c r="F309" s="10" t="str">
        <x:v>英華女學校</x:v>
      </x:c>
      <x:c r="G309" s="12" t="n">
        <x:f>SUM(H309:J309)+K309</x:f>
        <x:v>157</x:v>
      </x:c>
      <x:c r="H309" s="12" t="n">
        <x:v>97</x:v>
      </x:c>
      <x:c r="I309" s="12" t="n">
        <x:v>36</x:v>
      </x:c>
      <x:c r="J309" s="12" t="n">
        <x:v>19</x:v>
      </x:c>
      <x:c r="K309" s="12" t="n">
        <x:f>IF(D309="A",5,0)</x:f>
        <x:v>5</x:v>
      </x:c>
    </x:row>
    <x:row r="310" ht="30" customHeight="1">
      <x:c r="A310" s="11" t="n">
        <x:f>RANK.EQ(G310,$G$2:$G$334,0)</x:f>
        <x:v>309</x:v>
      </x:c>
      <x:c r="B310" s="7" t="str">
        <x:v>HI-005</x:v>
      </x:c>
      <x:c r="C310" s="7" t="str">
        <x:v>HI</x:v>
      </x:c>
      <x:c r="D310" s="7" t="str">
        <x:v>A</x:v>
      </x:c>
      <x:c r="E310" s="8" t="str">
        <x:v>曾子楚</x:v>
      </x:c>
      <x:c r="F310" s="10" t="str">
        <x:v>上海外国语大学三亚附属中学</x:v>
      </x:c>
      <x:c r="G310" s="12" t="n">
        <x:f>SUM(H310:J310)+K310</x:f>
        <x:v>155</x:v>
      </x:c>
      <x:c r="H310" s="12" t="n">
        <x:v>100</x:v>
      </x:c>
      <x:c r="I310" s="12" t="n">
        <x:v>15</x:v>
      </x:c>
      <x:c r="J310" s="12" t="n">
        <x:v>35</x:v>
      </x:c>
      <x:c r="K310" s="12" t="n">
        <x:f>IF(D310="A",5,0)</x:f>
        <x:v>5</x:v>
      </x:c>
    </x:row>
    <x:row r="311" ht="30" customHeight="1">
      <x:c r="A311" s="11" t="n">
        <x:f>RANK.EQ(G311,$G$2:$G$334,0)</x:f>
        <x:v>310</x:v>
      </x:c>
      <x:c r="B311" s="7" t="str">
        <x:v>YN-005</x:v>
      </x:c>
      <x:c r="C311" s="7" t="str">
        <x:v>YN</x:v>
      </x:c>
      <x:c r="D311" s="7" t="str">
        <x:v>A</x:v>
      </x:c>
      <x:c r="E311" s="8" t="str">
        <x:v>田昀可</x:v>
      </x:c>
      <x:c r="F311" s="10" t="str">
        <x:v>红河哈尼族彝族自治州第一中学</x:v>
      </x:c>
      <x:c r="G311" s="12" t="n">
        <x:f>SUM(H311:J311)+K311</x:f>
        <x:v>152</x:v>
      </x:c>
      <x:c r="H311" s="12" t="n">
        <x:v>100</x:v>
      </x:c>
      <x:c r="I311" s="12" t="n">
        <x:v>32</x:v>
      </x:c>
      <x:c r="J311" s="12" t="n">
        <x:v>15</x:v>
      </x:c>
      <x:c r="K311" s="12" t="n">
        <x:f>IF(D311="A",5,0)</x:f>
        <x:v>5</x:v>
      </x:c>
    </x:row>
    <x:row r="312" ht="30" customHeight="1">
      <x:c r="A312" s="11" t="n">
        <x:f>RANK.EQ(G312,$G$2:$G$334,0)</x:f>
        <x:v>311</x:v>
      </x:c>
      <x:c r="B312" s="7" t="str">
        <x:v>HE-002</x:v>
      </x:c>
      <x:c r="C312" s="7" t="str">
        <x:v>HE</x:v>
      </x:c>
      <x:c r="D312" s="7" t="str">
        <x:v>A</x:v>
      </x:c>
      <x:c r="E312" s="8" t="str">
        <x:v>靳灏芊</x:v>
      </x:c>
      <x:c r="F312" s="10" t="str">
        <x:v>石家庄市第一中学</x:v>
      </x:c>
      <x:c r="G312" s="12" t="n">
        <x:f>SUM(H312:J312)+K312</x:f>
        <x:v>151</x:v>
      </x:c>
      <x:c r="H312" s="12" t="n">
        <x:v>100</x:v>
      </x:c>
      <x:c r="I312" s="12" t="n">
        <x:v>21</x:v>
      </x:c>
      <x:c r="J312" s="12" t="n">
        <x:v>25</x:v>
      </x:c>
      <x:c r="K312" s="12" t="n">
        <x:f>IF(D312="A",5,0)</x:f>
        <x:v>5</x:v>
      </x:c>
    </x:row>
    <x:row r="313" ht="30" customHeight="1">
      <x:c r="A313" s="11" t="n">
        <x:f>RANK.EQ(G313,$G$2:$G$334,0)</x:f>
        <x:v>312</x:v>
      </x:c>
      <x:c r="B313" s="7" t="str">
        <x:v>HI-006</x:v>
      </x:c>
      <x:c r="C313" s="7" t="str">
        <x:v>HI</x:v>
      </x:c>
      <x:c r="D313" s="7" t="str">
        <x:v>B</x:v>
      </x:c>
      <x:c r="E313" s="8" t="str">
        <x:v>王彦景</x:v>
      </x:c>
      <x:c r="F313" s="10" t="str">
        <x:v>海南华侨中学</x:v>
      </x:c>
      <x:c r="G313" s="12" t="n">
        <x:f>SUM(H313:J313)+K313</x:f>
        <x:v>147</x:v>
      </x:c>
      <x:c r="H313" s="12" t="n">
        <x:v>100</x:v>
      </x:c>
      <x:c r="I313" s="12" t="n">
        <x:v>32</x:v>
      </x:c>
      <x:c r="J313" s="12" t="n">
        <x:v>15</x:v>
      </x:c>
      <x:c r="K313" s="12" t="n">
        <x:f>IF(D313="A",5,0)</x:f>
        <x:v>0</x:v>
      </x:c>
    </x:row>
    <x:row r="314" ht="30" customHeight="1">
      <x:c r="A314" s="11" t="n">
        <x:f>RANK.EQ(G314,$G$2:$G$334,0)</x:f>
        <x:v>313</x:v>
      </x:c>
      <x:c r="B314" s="7" t="str">
        <x:v>HB-005</x:v>
      </x:c>
      <x:c r="C314" s="7" t="str">
        <x:v>HB</x:v>
      </x:c>
      <x:c r="D314" s="7" t="str">
        <x:v>A</x:v>
      </x:c>
      <x:c r="E314" s="8" t="str">
        <x:v>柳涵钰</x:v>
      </x:c>
      <x:c r="F314" s="10" t="str">
        <x:v>武汉外国语学校</x:v>
      </x:c>
      <x:c r="G314" s="12" t="n">
        <x:f>SUM(H314:J314)+K314</x:f>
        <x:v>146</x:v>
      </x:c>
      <x:c r="H314" s="12" t="n">
        <x:v>98</x:v>
      </x:c>
      <x:c r="I314" s="12" t="n">
        <x:v>8</x:v>
      </x:c>
      <x:c r="J314" s="12" t="n">
        <x:v>35</x:v>
      </x:c>
      <x:c r="K314" s="12" t="n">
        <x:f>IF(D314="A",5,0)</x:f>
        <x:v>5</x:v>
      </x:c>
    </x:row>
    <x:row r="315" ht="30" customHeight="1">
      <x:c r="A315" s="11" t="n">
        <x:f>RANK.EQ(G315,$G$2:$G$334,0)</x:f>
        <x:v>314</x:v>
      </x:c>
      <x:c r="B315" s="7" t="str">
        <x:v>SN-005</x:v>
      </x:c>
      <x:c r="C315" s="7" t="str">
        <x:v>SN</x:v>
      </x:c>
      <x:c r="D315" s="7" t="str">
        <x:v>A</x:v>
      </x:c>
      <x:c r="E315" s="8" t="str">
        <x:v>陈钰婉</x:v>
      </x:c>
      <x:c r="F315" s="10" t="str">
        <x:v>西安高新第一中学</x:v>
      </x:c>
      <x:c r="G315" s="12" t="n">
        <x:f>SUM(H315:J315)+K315</x:f>
        <x:v>144</x:v>
      </x:c>
      <x:c r="H315" s="12" t="n">
        <x:v>100</x:v>
      </x:c>
      <x:c r="I315" s="12" t="n">
        <x:v>25</x:v>
      </x:c>
      <x:c r="J315" s="12" t="n">
        <x:v>14</x:v>
      </x:c>
      <x:c r="K315" s="12" t="n">
        <x:f>IF(D315="A",5,0)</x:f>
        <x:v>5</x:v>
      </x:c>
    </x:row>
    <x:row r="316" ht="30" customHeight="1">
      <x:c r="A316" s="11" t="n">
        <x:f>RANK.EQ(G316,$G$2:$G$334,0)</x:f>
        <x:v>315</x:v>
      </x:c>
      <x:c r="B316" s="7" t="str">
        <x:v>NX-003</x:v>
      </x:c>
      <x:c r="C316" s="7" t="str">
        <x:v>NX</x:v>
      </x:c>
      <x:c r="D316" s="7" t="str">
        <x:v>A</x:v>
      </x:c>
      <x:c r="E316" s="8" t="str">
        <x:v>王小鲁</x:v>
      </x:c>
      <x:c r="F316" s="10" t="str">
        <x:v>宁夏银川市第二中学</x:v>
      </x:c>
      <x:c r="G316" s="12" t="n">
        <x:f>SUM(H316:J316)+K316</x:f>
        <x:v>137</x:v>
      </x:c>
      <x:c r="H316" s="12" t="n">
        <x:v>100</x:v>
      </x:c>
      <x:c r="I316" s="12" t="n">
        <x:v>28</x:v>
      </x:c>
      <x:c r="J316" s="12" t="n">
        <x:v>4</x:v>
      </x:c>
      <x:c r="K316" s="12" t="n">
        <x:f>IF(D316="A",5,0)</x:f>
        <x:v>5</x:v>
      </x:c>
    </x:row>
    <x:row r="317" ht="30" customHeight="1">
      <x:c r="A317" s="11" t="n">
        <x:f>RANK.EQ(G317,$G$2:$G$334,0)</x:f>
        <x:v>316</x:v>
      </x:c>
      <x:c r="B317" s="7" t="str">
        <x:v>GS-005</x:v>
      </x:c>
      <x:c r="C317" s="7" t="str">
        <x:v>GS</x:v>
      </x:c>
      <x:c r="D317" s="7" t="str">
        <x:v>A</x:v>
      </x:c>
      <x:c r="E317" s="8" t="str">
        <x:v>杨梓瀚</x:v>
      </x:c>
      <x:c r="F317" s="10" t="str">
        <x:v>甘肃省庆阳第一中学</x:v>
      </x:c>
      <x:c r="G317" s="12" t="n">
        <x:f>SUM(H317:J317)+K317</x:f>
        <x:v>135</x:v>
      </x:c>
      <x:c r="H317" s="12" t="n">
        <x:v>100</x:v>
      </x:c>
      <x:c r="I317" s="12" t="n">
        <x:v>20</x:v>
      </x:c>
      <x:c r="J317" s="12" t="n">
        <x:v>10</x:v>
      </x:c>
      <x:c r="K317" s="12" t="n">
        <x:f>IF(D317="A",5,0)</x:f>
        <x:v>5</x:v>
      </x:c>
    </x:row>
    <x:row r="318" ht="30" customHeight="1">
      <x:c r="A318" s="11" t="n">
        <x:f>RANK.EQ(G318,$G$2:$G$334,0)</x:f>
        <x:v>317</x:v>
      </x:c>
      <x:c r="B318" s="7" t="str">
        <x:v>NX-004</x:v>
      </x:c>
      <x:c r="C318" s="7" t="str">
        <x:v>NX</x:v>
      </x:c>
      <x:c r="D318" s="7" t="str">
        <x:v>A</x:v>
      </x:c>
      <x:c r="E318" s="8" t="str">
        <x:v>董子芾</x:v>
      </x:c>
      <x:c r="F318" s="10" t="str">
        <x:v>银川市唐徕中学</x:v>
      </x:c>
      <x:c r="G318" s="12" t="n">
        <x:f>SUM(H318:J318)+K318</x:f>
        <x:v>134</x:v>
      </x:c>
      <x:c r="H318" s="12" t="n">
        <x:v>99</x:v>
      </x:c>
      <x:c r="I318" s="12" t="n">
        <x:v>20</x:v>
      </x:c>
      <x:c r="J318" s="12" t="n">
        <x:v>10</x:v>
      </x:c>
      <x:c r="K318" s="12" t="n">
        <x:f>IF(D318="A",5,0)</x:f>
        <x:v>5</x:v>
      </x:c>
    </x:row>
    <x:row r="319" ht="30" customHeight="1">
      <x:c r="A319" s="11" t="n">
        <x:f>RANK.EQ(G319,$G$2:$G$334,0)</x:f>
        <x:v>318</x:v>
      </x:c>
      <x:c r="B319" s="7" t="str">
        <x:v>MO-005</x:v>
      </x:c>
      <x:c r="C319" s="7" t="str">
        <x:v>MO</x:v>
      </x:c>
      <x:c r="D319" s="7" t="str">
        <x:v>A</x:v>
      </x:c>
      <x:c r="E319" s="8" t="str">
        <x:v>張兆鋒</x:v>
      </x:c>
      <x:c r="F319" s="10" t="str">
        <x:v>培正中學</x:v>
      </x:c>
      <x:c r="G319" s="12" t="n">
        <x:f>SUM(H319:J319)+K319</x:f>
        <x:v>130</x:v>
      </x:c>
      <x:c r="H319" s="12" t="n">
        <x:v>100</x:v>
      </x:c>
      <x:c r="I319" s="12" t="n">
        <x:v>0</x:v>
      </x:c>
      <x:c r="J319" s="12" t="n">
        <x:v>25</x:v>
      </x:c>
      <x:c r="K319" s="12" t="n">
        <x:f>IF(D319="A",5,0)</x:f>
        <x:v>5</x:v>
      </x:c>
    </x:row>
    <x:row r="320" ht="30" customHeight="1">
      <x:c r="A320" s="11" t="n">
        <x:f>RANK.EQ(G320,$G$2:$G$334,0)</x:f>
        <x:v>319</x:v>
      </x:c>
      <x:c r="B320" s="7" t="str">
        <x:v>SX-005</x:v>
      </x:c>
      <x:c r="C320" s="7" t="str">
        <x:v>SX</x:v>
      </x:c>
      <x:c r="D320" s="7" t="str">
        <x:v>A</x:v>
      </x:c>
      <x:c r="E320" s="8" t="str">
        <x:v>王子妍</x:v>
      </x:c>
      <x:c r="F320" s="10" t="str">
        <x:v>吕梁市凤山高级中学</x:v>
      </x:c>
      <x:c r="G320" s="12" t="n">
        <x:f>SUM(H320:J320)+K320</x:f>
        <x:v>125</x:v>
      </x:c>
      <x:c r="H320" s="12" t="n">
        <x:v>100</x:v>
      </x:c>
      <x:c r="I320" s="12" t="n">
        <x:v>10</x:v>
      </x:c>
      <x:c r="J320" s="12" t="n">
        <x:v>10</x:v>
      </x:c>
      <x:c r="K320" s="12" t="n">
        <x:f>IF(D320="A",5,0)</x:f>
        <x:v>5</x:v>
      </x:c>
    </x:row>
    <x:row r="321" ht="30" customHeight="1">
      <x:c r="A321" s="11" t="n">
        <x:f>RANK.EQ(G321,$G$2:$G$334,0)</x:f>
        <x:v>320</x:v>
      </x:c>
      <x:c r="B321" s="7" t="str">
        <x:v>NM-001</x:v>
      </x:c>
      <x:c r="C321" s="7" t="str">
        <x:v>NM</x:v>
      </x:c>
      <x:c r="D321" s="7" t="str">
        <x:v>A</x:v>
      </x:c>
      <x:c r="E321" s="8" t="str">
        <x:v>郭安桉</x:v>
      </x:c>
      <x:c r="F321" s="10" t="str">
        <x:v>乌兰浩特第一中学</x:v>
      </x:c>
      <x:c r="G321" s="12" t="n">
        <x:f>SUM(H321:J321)+K321</x:f>
        <x:v>116</x:v>
      </x:c>
      <x:c r="H321" s="12" t="n">
        <x:v>100</x:v>
      </x:c>
      <x:c r="I321" s="12" t="n">
        <x:v>11</x:v>
      </x:c>
      <x:c r="J321" s="12" t="n">
        <x:v>0</x:v>
      </x:c>
      <x:c r="K321" s="12" t="n">
        <x:f>IF(D321="A",5,0)</x:f>
        <x:v>5</x:v>
      </x:c>
    </x:row>
    <x:row r="322" ht="30" customHeight="1">
      <x:c r="A322" s="11" t="n">
        <x:f>RANK.EQ(G322,$G$2:$G$334,0)</x:f>
        <x:v>321</x:v>
      </x:c>
      <x:c r="B322" s="7" t="str">
        <x:v>GS-001</x:v>
      </x:c>
      <x:c r="C322" s="7" t="str">
        <x:v>GS</x:v>
      </x:c>
      <x:c r="D322" s="7" t="str">
        <x:v>A</x:v>
      </x:c>
      <x:c r="E322" s="8" t="str">
        <x:v>孙寅烜</x:v>
      </x:c>
      <x:c r="F322" s="10" t="str">
        <x:v>西北师范大学附属中学</x:v>
      </x:c>
      <x:c r="G322" s="12" t="n">
        <x:f>SUM(H322:J322)+K322</x:f>
        <x:v>113</x:v>
      </x:c>
      <x:c r="H322" s="12" t="n">
        <x:v>98</x:v>
      </x:c>
      <x:c r="I322" s="12" t="n">
        <x:v>0</x:v>
      </x:c>
      <x:c r="J322" s="12" t="n">
        <x:v>10</x:v>
      </x:c>
      <x:c r="K322" s="12" t="n">
        <x:f>IF(D322="A",5,0)</x:f>
        <x:v>5</x:v>
      </x:c>
    </x:row>
    <x:row r="323" ht="30" customHeight="1">
      <x:c r="A323" s="11" t="n">
        <x:f>RANK.EQ(G323,$G$2:$G$334,0)</x:f>
        <x:v>321</x:v>
      </x:c>
      <x:c r="B323" s="7" t="str">
        <x:v>GZ-006</x:v>
      </x:c>
      <x:c r="C323" s="7" t="str">
        <x:v>GZ</x:v>
      </x:c>
      <x:c r="D323" s="7" t="str">
        <x:v>B</x:v>
      </x:c>
      <x:c r="E323" s="8" t="str">
        <x:v>杨钧涵</x:v>
      </x:c>
      <x:c r="F323" s="10" t="str">
        <x:v>贵阳市第一中学</x:v>
      </x:c>
      <x:c r="G323" s="12" t="n">
        <x:f>SUM(H323:J323)+K323</x:f>
        <x:v>113</x:v>
      </x:c>
      <x:c r="H323" s="12" t="n">
        <x:v>95</x:v>
      </x:c>
      <x:c r="I323" s="12" t="n">
        <x:v>18</x:v>
      </x:c>
      <x:c r="J323" s="12" t="n">
        <x:v>0</x:v>
      </x:c>
      <x:c r="K323" s="12" t="n">
        <x:f>IF(D323="A",5,0)</x:f>
        <x:v>0</x:v>
      </x:c>
    </x:row>
    <x:row r="324" ht="30" customHeight="1">
      <x:c r="A324" s="11" t="n">
        <x:f>RANK.EQ(G324,$G$2:$G$334,0)</x:f>
        <x:v>323</x:v>
      </x:c>
      <x:c r="B324" s="7" t="str">
        <x:v>GS-003</x:v>
      </x:c>
      <x:c r="C324" s="7" t="str">
        <x:v>GS</x:v>
      </x:c>
      <x:c r="D324" s="7" t="str">
        <x:v>A</x:v>
      </x:c>
      <x:c r="E324" s="8" t="str">
        <x:v>张城</x:v>
      </x:c>
      <x:c r="F324" s="10" t="str">
        <x:v>甘肃省高台县第一中学</x:v>
      </x:c>
      <x:c r="G324" s="12" t="n">
        <x:f>SUM(H324:J324)+K324</x:f>
        <x:v>112</x:v>
      </x:c>
      <x:c r="H324" s="12" t="n">
        <x:v>99</x:v>
      </x:c>
      <x:c r="I324" s="12" t="n">
        <x:v>8</x:v>
      </x:c>
      <x:c r="J324" s="12" t="n">
        <x:v>0</x:v>
      </x:c>
      <x:c r="K324" s="12" t="n">
        <x:f>IF(D324="A",5,0)</x:f>
        <x:v>5</x:v>
      </x:c>
    </x:row>
    <x:row r="325" ht="30" customHeight="1">
      <x:c r="A325" s="11" t="n">
        <x:f>RANK.EQ(G325,$G$2:$G$334,0)</x:f>
        <x:v>324</x:v>
      </x:c>
      <x:c r="B325" s="7" t="str">
        <x:v>GZ-005</x:v>
      </x:c>
      <x:c r="C325" s="7" t="str">
        <x:v>GZ</x:v>
      </x:c>
      <x:c r="D325" s="7" t="str">
        <x:v>A</x:v>
      </x:c>
      <x:c r="E325" s="8" t="str">
        <x:v>李星宸</x:v>
      </x:c>
      <x:c r="F325" s="10" t="str">
        <x:v>贵州省遵义市第四中学</x:v>
      </x:c>
      <x:c r="G325" s="12" t="n">
        <x:f>SUM(H325:J325)+K325</x:f>
        <x:v>109</x:v>
      </x:c>
      <x:c r="H325" s="12" t="n">
        <x:v>99</x:v>
      </x:c>
      <x:c r="I325" s="12" t="n">
        <x:v>0</x:v>
      </x:c>
      <x:c r="J325" s="12" t="n">
        <x:v>5</x:v>
      </x:c>
      <x:c r="K325" s="12" t="n">
        <x:f>IF(D325="A",5,0)</x:f>
        <x:v>5</x:v>
      </x:c>
    </x:row>
    <x:row r="326" ht="30" customHeight="1">
      <x:c r="A326" s="11" t="n">
        <x:f>RANK.EQ(G326,$G$2:$G$334,0)</x:f>
        <x:v>325</x:v>
      </x:c>
      <x:c r="B326" s="7" t="str">
        <x:v>NX-002</x:v>
      </x:c>
      <x:c r="C326" s="7" t="str">
        <x:v>NX</x:v>
      </x:c>
      <x:c r="D326" s="7" t="str">
        <x:v>A</x:v>
      </x:c>
      <x:c r="E326" s="8" t="str">
        <x:v>胡又仁</x:v>
      </x:c>
      <x:c r="F326" s="10" t="str">
        <x:v>宁夏银川一中</x:v>
      </x:c>
      <x:c r="G326" s="12" t="n">
        <x:f>SUM(H326:J326)+K326</x:f>
        <x:v>105</x:v>
      </x:c>
      <x:c r="H326" s="12" t="n">
        <x:v>100</x:v>
      </x:c>
      <x:c r="I326" s="12" t="n">
        <x:v>0</x:v>
      </x:c>
      <x:c r="J326" s="12" t="n">
        <x:v>0</x:v>
      </x:c>
      <x:c r="K326" s="12" t="n">
        <x:f>IF(D326="A",5,0)</x:f>
        <x:v>5</x:v>
      </x:c>
    </x:row>
    <x:row r="327" ht="30" customHeight="1">
      <x:c r="A327" s="11" t="n">
        <x:f>RANK.EQ(G327,$G$2:$G$334,0)</x:f>
        <x:v>326</x:v>
      </x:c>
      <x:c r="B327" s="7" t="str">
        <x:v>QH-002</x:v>
      </x:c>
      <x:c r="C327" s="7" t="str">
        <x:v>QH</x:v>
      </x:c>
      <x:c r="D327" s="7" t="str">
        <x:v>A</x:v>
      </x:c>
      <x:c r="E327" s="8" t="str">
        <x:v>魏嘉航</x:v>
      </x:c>
      <x:c r="F327" s="10" t="str">
        <x:v>青海湟川中学</x:v>
      </x:c>
      <x:c r="G327" s="12" t="n">
        <x:f>SUM(H327:J327)+K327</x:f>
        <x:v>104</x:v>
      </x:c>
      <x:c r="H327" s="12" t="n">
        <x:v>99</x:v>
      </x:c>
      <x:c r="I327" s="12" t="n">
        <x:v>0</x:v>
      </x:c>
      <x:c r="J327" s="12" t="n">
        <x:v>0</x:v>
      </x:c>
      <x:c r="K327" s="12" t="n">
        <x:f>IF(D327="A",5,0)</x:f>
        <x:v>5</x:v>
      </x:c>
    </x:row>
    <x:row r="328" ht="30" customHeight="1">
      <x:c r="A328" s="11" t="n">
        <x:f>RANK.EQ(G328,$G$2:$G$334,0)</x:f>
        <x:v>326</x:v>
      </x:c>
      <x:c r="B328" s="7" t="str">
        <x:v>QH-003</x:v>
      </x:c>
      <x:c r="C328" s="7" t="str">
        <x:v>QH</x:v>
      </x:c>
      <x:c r="D328" s="7" t="str">
        <x:v>A</x:v>
      </x:c>
      <x:c r="E328" s="8" t="str">
        <x:v>陈骏豪</x:v>
      </x:c>
      <x:c r="F328" s="10" t="str">
        <x:v>青海湟川中学</x:v>
      </x:c>
      <x:c r="G328" s="12" t="n">
        <x:f>SUM(H328:J328)+K328</x:f>
        <x:v>104</x:v>
      </x:c>
      <x:c r="H328" s="12" t="n">
        <x:v>99</x:v>
      </x:c>
      <x:c r="I328" s="12" t="n">
        <x:v>0</x:v>
      </x:c>
      <x:c r="J328" s="12" t="n">
        <x:v>0</x:v>
      </x:c>
      <x:c r="K328" s="12" t="n">
        <x:f>IF(D328="A",5,0)</x:f>
        <x:v>5</x:v>
      </x:c>
    </x:row>
    <x:row r="329" ht="30" customHeight="1">
      <x:c r="A329" s="11" t="n">
        <x:f>RANK.EQ(G329,$G$2:$G$334,0)</x:f>
        <x:v>328</x:v>
      </x:c>
      <x:c r="B329" s="7" t="str">
        <x:v>GS-002</x:v>
      </x:c>
      <x:c r="C329" s="7" t="str">
        <x:v>GS</x:v>
      </x:c>
      <x:c r="D329" s="7" t="str">
        <x:v>A</x:v>
      </x:c>
      <x:c r="E329" s="8" t="str">
        <x:v>曹一文</x:v>
      </x:c>
      <x:c r="F329" s="10" t="str">
        <x:v>甘肃省张掖中学</x:v>
      </x:c>
      <x:c r="G329" s="12" t="n">
        <x:f>SUM(H329:J329)+K329</x:f>
        <x:v>103</x:v>
      </x:c>
      <x:c r="H329" s="12" t="n">
        <x:v>93</x:v>
      </x:c>
      <x:c r="I329" s="12" t="n">
        <x:v>0</x:v>
      </x:c>
      <x:c r="J329" s="12" t="n">
        <x:v>5</x:v>
      </x:c>
      <x:c r="K329" s="12" t="n">
        <x:f>IF(D329="A",5,0)</x:f>
        <x:v>5</x:v>
      </x:c>
    </x:row>
    <x:row r="330" ht="30" customHeight="1">
      <x:c r="A330" s="11" t="n">
        <x:f>RANK.EQ(G330,$G$2:$G$334,0)</x:f>
        <x:v>328</x:v>
      </x:c>
      <x:c r="B330" s="7" t="str">
        <x:v>QH-001</x:v>
      </x:c>
      <x:c r="C330" s="7" t="str">
        <x:v>QH</x:v>
      </x:c>
      <x:c r="D330" s="7" t="str">
        <x:v>A</x:v>
      </x:c>
      <x:c r="E330" s="8" t="str">
        <x:v>吴嘉越</x:v>
      </x:c>
      <x:c r="F330" s="10" t="str">
        <x:v>西宁市第二中学</x:v>
      </x:c>
      <x:c r="G330" s="12" t="n">
        <x:f>SUM(H330:J330)+K330</x:f>
        <x:v>103</x:v>
      </x:c>
      <x:c r="H330" s="12" t="n">
        <x:v>98</x:v>
      </x:c>
      <x:c r="I330" s="12" t="n">
        <x:v>0</x:v>
      </x:c>
      <x:c r="J330" s="12" t="n">
        <x:v>0</x:v>
      </x:c>
      <x:c r="K330" s="12" t="n">
        <x:f>IF(D330="A",5,0)</x:f>
        <x:v>5</x:v>
      </x:c>
    </x:row>
    <x:row r="331" ht="30" customHeight="1">
      <x:c r="A331" s="11" t="n">
        <x:f>RANK.EQ(G331,$G$2:$G$334,0)</x:f>
        <x:v>328</x:v>
      </x:c>
      <x:c r="B331" s="7" t="str">
        <x:v>QH-004</x:v>
      </x:c>
      <x:c r="C331" s="7" t="str">
        <x:v>QH</x:v>
      </x:c>
      <x:c r="D331" s="7" t="str">
        <x:v>A</x:v>
      </x:c>
      <x:c r="E331" s="8" t="str">
        <x:v>马靖宇</x:v>
      </x:c>
      <x:c r="F331" s="10" t="str">
        <x:v>西宁市光华中学</x:v>
      </x:c>
      <x:c r="G331" s="12" t="n">
        <x:f>SUM(H331:J331)+K331</x:f>
        <x:v>103</x:v>
      </x:c>
      <x:c r="H331" s="12" t="n">
        <x:v>98</x:v>
      </x:c>
      <x:c r="I331" s="12" t="n">
        <x:v>0</x:v>
      </x:c>
      <x:c r="J331" s="12" t="n">
        <x:v>0</x:v>
      </x:c>
      <x:c r="K331" s="12" t="n">
        <x:f>IF(D331="A",5,0)</x:f>
        <x:v>5</x:v>
      </x:c>
    </x:row>
    <x:row r="332" ht="30" customHeight="1">
      <x:c r="A332" s="11" t="n">
        <x:f>RANK.EQ(G332,$G$2:$G$334,0)</x:f>
        <x:v>328</x:v>
      </x:c>
      <x:c r="B332" s="7" t="str">
        <x:v>QH-005</x:v>
      </x:c>
      <x:c r="C332" s="7" t="str">
        <x:v>QH</x:v>
      </x:c>
      <x:c r="D332" s="7" t="str">
        <x:v>A</x:v>
      </x:c>
      <x:c r="E332" s="8" t="str">
        <x:v>白瑞雪</x:v>
      </x:c>
      <x:c r="F332" s="10" t="str">
        <x:v>青海湟川中学</x:v>
      </x:c>
      <x:c r="G332" s="12" t="n">
        <x:f>SUM(H332:J332)+K332</x:f>
        <x:v>103</x:v>
      </x:c>
      <x:c r="H332" s="12" t="n">
        <x:v>98</x:v>
      </x:c>
      <x:c r="I332" s="12" t="n">
        <x:v>0</x:v>
      </x:c>
      <x:c r="J332" s="12" t="n">
        <x:v>0</x:v>
      </x:c>
      <x:c r="K332" s="12" t="n">
        <x:f>IF(D332="A",5,0)</x:f>
        <x:v>5</x:v>
      </x:c>
    </x:row>
    <x:row r="333" ht="30" customHeight="1">
      <x:c r="A333" s="11" t="n">
        <x:f>RANK.EQ(G333,$G$2:$G$334,0)</x:f>
        <x:v>332</x:v>
      </x:c>
      <x:c r="B333" s="7" t="str">
        <x:v>NX-005</x:v>
      </x:c>
      <x:c r="C333" s="7" t="str">
        <x:v>NX</x:v>
      </x:c>
      <x:c r="D333" s="7" t="str">
        <x:v>A</x:v>
      </x:c>
      <x:c r="E333" s="8" t="str">
        <x:v>石欣苒</x:v>
      </x:c>
      <x:c r="F333" s="10" t="str">
        <x:v>贺兰县第一中学</x:v>
      </x:c>
      <x:c r="G333" s="12" t="n">
        <x:f>SUM(H333:J333)+K333</x:f>
        <x:v>99</x:v>
      </x:c>
      <x:c r="H333" s="12" t="n">
        <x:v>94</x:v>
      </x:c>
      <x:c r="I333" s="12" t="n">
        <x:v>0</x:v>
      </x:c>
      <x:c r="J333" s="12" t="n">
        <x:v>0</x:v>
      </x:c>
      <x:c r="K333" s="12" t="n">
        <x:f>IF(D333="A",5,0)</x:f>
        <x:v>5</x:v>
      </x:c>
    </x:row>
    <x:row r="334" ht="30" customHeight="1">
      <x:c r="A334" s="11" t="n">
        <x:f>RANK.EQ(G334,$G$2:$G$334,0)</x:f>
        <x:v>333</x:v>
      </x:c>
      <x:c r="B334" s="7" t="str">
        <x:v>NM-007</x:v>
      </x:c>
      <x:c r="C334" s="7" t="str">
        <x:v>NM</x:v>
      </x:c>
      <x:c r="D334" s="7" t="str">
        <x:v>B</x:v>
      </x:c>
      <x:c r="E334" s="8" t="str">
        <x:v>林照奇</x:v>
      </x:c>
      <x:c r="F334" s="10" t="str">
        <x:v>赤峰二中</x:v>
      </x:c>
      <x:c r="G334" s="12" t="n">
        <x:f>SUM(H334:J334)+K334</x:f>
        <x:v>97</x:v>
      </x:c>
      <x:c r="H334" s="12" t="n">
        <x:v>97</x:v>
      </x:c>
      <x:c r="I334" s="12" t="n">
        <x:v>0</x:v>
      </x:c>
      <x:c r="J334" s="12" t="n">
        <x:v>0</x:v>
      </x:c>
      <x:c r="K334" s="12" t="n">
        <x:f>IF(D334="A",5,0)</x:f>
        <x:v>0</x:v>
      </x:c>
    </x:row>
  </x:sheetData>
  <x:conditionalFormatting sqref="K2:K334">
    <x:cfRule type="cellIs" dxfId="1" priority="1" operator="equal">
      <x:formula>5</x:formula>
    </x:cfRule>
  </x:conditionalFormatting>
  <x:pageMargins left="0.7" right="0.7" top="0.75" bottom="0.75" header="0.3" footer="0.3"/>
  <x:legacyDrawing xmlns:r="http://schemas.openxmlformats.org/officeDocument/2006/relationships" r:id="Rf8ee4ee5d34f4dd6"/>
  <x:tableParts count="1">
    <x:tablePart xmlns:r="http://schemas.openxmlformats.org/officeDocument/2006/relationships" r:id="Rb8f75e50b48a4ba9"/>
  </x:tableParts>
</x:worksheet>
</file>